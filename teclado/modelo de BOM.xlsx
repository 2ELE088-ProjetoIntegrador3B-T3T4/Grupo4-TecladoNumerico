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liveuel-my.sharepoint.com/personal/vitor_hugo_domingues_bogo_live_uel_br/Documents/[1]-Pcompartilhada/[3]-3_ano/PI 3B/altium/Grupo4-TecladoNumerico/teclado/"/>
    </mc:Choice>
  </mc:AlternateContent>
  <xr:revisionPtr revIDLastSave="42" documentId="13_ncr:1_{84B0A77F-A0E7-4BC8-BF0E-B11BB9D4D1E1}" xr6:coauthVersionLast="47" xr6:coauthVersionMax="47" xr10:uidLastSave="{8BB5B394-C3EB-558C-ADBF-A2A6338F3294}"/>
  <bookViews>
    <workbookView xWindow="-108" yWindow="-108" windowWidth="23256" windowHeight="12456" xr2:uid="{00000000-000D-0000-FFFF-FFFF00000000}"/>
  </bookViews>
  <sheets>
    <sheet name="Part List Report" sheetId="3" r:id="rId1"/>
    <sheet name="Project Information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3" l="1"/>
  <c r="D8" i="3"/>
  <c r="N13" i="3"/>
  <c r="K13" i="3"/>
  <c r="H13" i="3"/>
  <c r="B12" i="3"/>
  <c r="B11" i="3"/>
  <c r="B10" i="3"/>
  <c r="L15" i="3"/>
  <c r="L16" i="3" s="1"/>
  <c r="L18" i="3" l="1"/>
</calcChain>
</file>

<file path=xl/sharedStrings.xml><?xml version="1.0" encoding="utf-8"?>
<sst xmlns="http://schemas.openxmlformats.org/spreadsheetml/2006/main" count="72" uniqueCount="70">
  <si>
    <t>Project Full Path</t>
  </si>
  <si>
    <t>Project Filename</t>
  </si>
  <si>
    <t>Variant Name</t>
  </si>
  <si>
    <t>Data-Source Filename</t>
  </si>
  <si>
    <t>Data-Source Full Path</t>
  </si>
  <si>
    <t>Title</t>
  </si>
  <si>
    <t>Total Quantity</t>
  </si>
  <si>
    <t>Report Time</t>
  </si>
  <si>
    <t>Report Date</t>
  </si>
  <si>
    <t>Report Date &amp; Tine</t>
  </si>
  <si>
    <t>Output Name</t>
  </si>
  <si>
    <t>Output Type</t>
  </si>
  <si>
    <t>Output Generator Name</t>
  </si>
  <si>
    <t>Output Generator Description</t>
  </si>
  <si>
    <t>Source Data From:</t>
  </si>
  <si>
    <t>Project:</t>
  </si>
  <si>
    <t>Variant:</t>
  </si>
  <si>
    <t>Print Date:</t>
  </si>
  <si>
    <t>Report Date:</t>
  </si>
  <si>
    <t>Component list</t>
  </si>
  <si>
    <t>Approved</t>
  </si>
  <si>
    <t>Notes</t>
  </si>
  <si>
    <t>#</t>
  </si>
  <si>
    <t>Total</t>
  </si>
  <si>
    <t>Generated by:</t>
  </si>
  <si>
    <t>Contact:</t>
  </si>
  <si>
    <t>Price for 1pcs</t>
  </si>
  <si>
    <t>pcs:</t>
  </si>
  <si>
    <t>Total em Reais:</t>
  </si>
  <si>
    <t>VD:</t>
  </si>
  <si>
    <t>Reais</t>
  </si>
  <si>
    <t>Bill of Materials for BOM Document [Projetos Leds.BomDoc]</t>
  </si>
  <si>
    <t>Projetos Leds.BomDoc</t>
  </si>
  <si>
    <t>Projetos Leds.PrjPcb</t>
  </si>
  <si>
    <t>&lt;Parameter ClientCompanyName not found&gt;</t>
  </si>
  <si>
    <t>None</t>
  </si>
  <si>
    <t>&lt;Parameter ClientContactName not found&gt;</t>
  </si>
  <si>
    <t>&lt;Parameter ClientContactEmail not found&gt;</t>
  </si>
  <si>
    <t>31/08/2025</t>
  </si>
  <si>
    <t>23:42</t>
  </si>
  <si>
    <t>&lt;Parameter ClientWebsite not found&gt;</t>
  </si>
  <si>
    <t>1</t>
  </si>
  <si>
    <t>USD</t>
  </si>
  <si>
    <t>H:\OneDrive-UEL\OneDrive - Universidade Estadual de Londrina\[1]-Pcompartilhada\[3]-3_ano\PI 3B\altium\Led at\assignment1-led-pcb-VitorHugo-UEL\Projetos Leds\Projetos Leds.PrjPcb</t>
  </si>
  <si>
    <t>H:\OneDrive-UEL\OneDrive - Universidade Estadual de Londrina\[1]-Pcompartilhada\[3]-3_ano\PI 3B\altium\Led at\assignment1-led-pcb-VitorHugo-UEL\Projetos Leds\Projetos Leds.BomDoc</t>
  </si>
  <si>
    <t>5</t>
  </si>
  <si>
    <t>31/08/2025 23:42</t>
  </si>
  <si>
    <t>Bill of Materials</t>
  </si>
  <si>
    <t>BomReport</t>
  </si>
  <si>
    <t>BOM</t>
  </si>
  <si>
    <t>VITOR</t>
  </si>
  <si>
    <t>Column=Category</t>
  </si>
  <si>
    <t>Column=Manufacturer 1</t>
  </si>
  <si>
    <t>Column=Manufacturer Part Number 1</t>
  </si>
  <si>
    <t>Column=Case/Package</t>
  </si>
  <si>
    <t>Column=Description</t>
  </si>
  <si>
    <t>Column=Quantity</t>
  </si>
  <si>
    <t>Column=Supplier 1</t>
  </si>
  <si>
    <t>Column=Supplier Part Number 1</t>
  </si>
  <si>
    <t>Column=Supplier Order Qty 1</t>
  </si>
  <si>
    <t>Column=Supplier Stock 1</t>
  </si>
  <si>
    <t>Column=Supplier Unit Price 1</t>
  </si>
  <si>
    <t>Column=Supplier Subtotal 1</t>
  </si>
  <si>
    <t>Column=Supplier Currency 1</t>
  </si>
  <si>
    <t>Field=DataSourceFileName</t>
  </si>
  <si>
    <t>Field=ProjectFileName</t>
  </si>
  <si>
    <t>Field=VariantName</t>
  </si>
  <si>
    <t>Field=ReportDate</t>
  </si>
  <si>
    <t>Field=ReportTime</t>
  </si>
  <si>
    <t>Field=Title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</si>
</sst>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9]dd\-mmm\-yy;@"/>
    <numFmt numFmtId="165" formatCode="[$-409]h:mm:ss\ AM/PM;@"/>
  </numFmts>
  <fonts count="26" x14ac:knownFonts="1">
    <font>
      <sz val="10"/>
      <name val="Arial"/>
    </font>
    <font>
      <sz val="10"/>
      <name val="Arial"/>
    </font>
    <font>
      <u/>
      <sz val="10"/>
      <color indexed="12"/>
      <name val="Arial"/>
    </font>
    <font>
      <b/>
      <sz val="10"/>
      <name val="Arial"/>
      <family val="2"/>
    </font>
    <font>
      <sz val="10"/>
      <name val="Arial"/>
      <family val="2"/>
    </font>
    <font>
      <b/>
      <sz val="8"/>
      <color indexed="13"/>
      <name val="Arial"/>
      <family val="2"/>
    </font>
    <font>
      <sz val="10"/>
      <color indexed="13"/>
      <name val="Arial"/>
    </font>
    <font>
      <b/>
      <sz val="12"/>
      <color indexed="13"/>
      <name val="Arial"/>
    </font>
    <font>
      <sz val="8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24"/>
      <color indexed="1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b/>
      <sz val="8"/>
      <color indexed="10"/>
      <name val="Arial"/>
      <family val="2"/>
      <charset val="204"/>
    </font>
    <font>
      <b/>
      <sz val="10"/>
      <name val="Arial"/>
    </font>
    <font>
      <b/>
      <sz val="16"/>
      <name val="Arial"/>
      <family val="2"/>
    </font>
    <font>
      <b/>
      <sz val="18"/>
      <name val="Arial"/>
      <family val="2"/>
    </font>
    <font>
      <b/>
      <sz val="20"/>
      <name val="Arial"/>
      <family val="2"/>
    </font>
    <font>
      <sz val="18"/>
      <name val="Arial"/>
      <family val="2"/>
    </font>
    <font>
      <u/>
      <sz val="10"/>
      <name val="Arial"/>
      <family val="2"/>
    </font>
    <font>
      <b/>
      <u/>
      <sz val="16"/>
      <color indexed="10"/>
      <name val="Arial"/>
      <family val="2"/>
    </font>
    <font>
      <u/>
      <sz val="9"/>
      <color indexed="10"/>
      <name val="Arial"/>
      <family val="2"/>
    </font>
    <font>
      <u/>
      <sz val="10"/>
      <color indexed="10"/>
      <name val="Arial"/>
      <family val="2"/>
    </font>
    <font>
      <b/>
      <u/>
      <sz val="12"/>
      <color indexed="13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3366FF"/>
        <bgColor indexed="64"/>
      </patternFill>
    </fill>
  </fills>
  <borders count="4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2"/>
      </top>
      <bottom/>
      <diagonal/>
    </border>
    <border>
      <left/>
      <right style="medium">
        <color indexed="64"/>
      </right>
      <top style="medium">
        <color indexed="62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2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12">
    <xf numFmtId="0" fontId="0" fillId="0" borderId="0" xfId="0"/>
    <xf numFmtId="0" fontId="0" fillId="0" borderId="0" xfId="0" applyAlignment="1">
      <alignment vertical="top"/>
    </xf>
    <xf numFmtId="0" fontId="4" fillId="0" borderId="0" xfId="0" applyFont="1" applyAlignment="1">
      <alignment vertical="top"/>
    </xf>
    <xf numFmtId="0" fontId="0" fillId="0" borderId="0" xfId="0" applyAlignment="1">
      <alignment horizontal="left" vertical="top"/>
    </xf>
    <xf numFmtId="0" fontId="1" fillId="0" borderId="1" xfId="0" applyFont="1" applyBorder="1" applyAlignment="1" applyProtection="1">
      <alignment horizontal="left" vertical="top"/>
      <protection locked="0"/>
    </xf>
    <xf numFmtId="0" fontId="1" fillId="0" borderId="0" xfId="0" applyFont="1" applyAlignment="1" applyProtection="1">
      <alignment horizontal="left" vertical="top"/>
      <protection locked="0"/>
    </xf>
    <xf numFmtId="0" fontId="1" fillId="0" borderId="0" xfId="0" applyFont="1" applyAlignment="1" applyProtection="1">
      <alignment vertical="top"/>
      <protection locked="0"/>
    </xf>
    <xf numFmtId="0" fontId="1" fillId="0" borderId="2" xfId="0" applyFont="1" applyBorder="1" applyAlignment="1" applyProtection="1">
      <alignment horizontal="left" vertical="top"/>
      <protection locked="0"/>
    </xf>
    <xf numFmtId="0" fontId="1" fillId="0" borderId="3" xfId="0" applyFont="1" applyBorder="1" applyAlignment="1" applyProtection="1">
      <alignment horizontal="left" vertical="top"/>
      <protection locked="0"/>
    </xf>
    <xf numFmtId="0" fontId="7" fillId="4" borderId="4" xfId="0" applyFont="1" applyFill="1" applyBorder="1" applyAlignment="1">
      <alignment vertical="center"/>
    </xf>
    <xf numFmtId="0" fontId="9" fillId="5" borderId="0" xfId="0" applyFont="1" applyFill="1"/>
    <xf numFmtId="0" fontId="10" fillId="5" borderId="0" xfId="0" applyFont="1" applyFill="1" applyAlignment="1">
      <alignment horizontal="left"/>
    </xf>
    <xf numFmtId="0" fontId="10" fillId="5" borderId="0" xfId="0" applyFont="1" applyFill="1"/>
    <xf numFmtId="0" fontId="10" fillId="5" borderId="5" xfId="0" applyFont="1" applyFill="1" applyBorder="1"/>
    <xf numFmtId="0" fontId="9" fillId="5" borderId="6" xfId="0" applyFont="1" applyFill="1" applyBorder="1" applyAlignment="1">
      <alignment horizontal="left"/>
    </xf>
    <xf numFmtId="0" fontId="10" fillId="5" borderId="6" xfId="0" applyFont="1" applyFill="1" applyBorder="1"/>
    <xf numFmtId="0" fontId="9" fillId="5" borderId="6" xfId="0" applyFont="1" applyFill="1" applyBorder="1"/>
    <xf numFmtId="0" fontId="11" fillId="5" borderId="0" xfId="0" applyFont="1" applyFill="1"/>
    <xf numFmtId="0" fontId="12" fillId="5" borderId="7" xfId="0" applyFont="1" applyFill="1" applyBorder="1" applyAlignment="1">
      <alignment vertical="center"/>
    </xf>
    <xf numFmtId="0" fontId="12" fillId="5" borderId="8" xfId="0" applyFont="1" applyFill="1" applyBorder="1" applyAlignment="1">
      <alignment vertical="center"/>
    </xf>
    <xf numFmtId="0" fontId="13" fillId="3" borderId="0" xfId="0" applyFont="1" applyFill="1" applyAlignment="1">
      <alignment horizontal="left" vertical="center"/>
    </xf>
    <xf numFmtId="0" fontId="13" fillId="6" borderId="0" xfId="0" applyFont="1" applyFill="1" applyAlignment="1">
      <alignment horizontal="left" vertical="center"/>
    </xf>
    <xf numFmtId="0" fontId="8" fillId="2" borderId="10" xfId="0" applyFont="1" applyFill="1" applyBorder="1" applyAlignment="1">
      <alignment vertical="top" wrapText="1"/>
    </xf>
    <xf numFmtId="0" fontId="8" fillId="2" borderId="11" xfId="0" applyFont="1" applyFill="1" applyBorder="1" applyAlignment="1">
      <alignment vertical="top" wrapText="1"/>
    </xf>
    <xf numFmtId="0" fontId="8" fillId="2" borderId="12" xfId="0" applyFont="1" applyFill="1" applyBorder="1" applyAlignment="1">
      <alignment vertical="top" wrapText="1"/>
    </xf>
    <xf numFmtId="0" fontId="8" fillId="6" borderId="13" xfId="0" applyFont="1" applyFill="1" applyBorder="1" applyAlignment="1">
      <alignment vertical="top" wrapText="1"/>
    </xf>
    <xf numFmtId="0" fontId="8" fillId="6" borderId="14" xfId="0" applyFont="1" applyFill="1" applyBorder="1" applyAlignment="1">
      <alignment vertical="top" wrapText="1"/>
    </xf>
    <xf numFmtId="0" fontId="1" fillId="0" borderId="15" xfId="0" applyFont="1" applyBorder="1" applyAlignment="1" applyProtection="1">
      <alignment horizontal="left" vertical="top"/>
      <protection locked="0"/>
    </xf>
    <xf numFmtId="0" fontId="1" fillId="0" borderId="5" xfId="0" applyFont="1" applyBorder="1" applyAlignment="1" applyProtection="1">
      <alignment horizontal="left" vertical="top"/>
      <protection locked="0"/>
    </xf>
    <xf numFmtId="0" fontId="5" fillId="4" borderId="16" xfId="0" applyFont="1" applyFill="1" applyBorder="1" applyAlignment="1">
      <alignment horizontal="center" vertical="center" wrapText="1"/>
    </xf>
    <xf numFmtId="0" fontId="5" fillId="4" borderId="17" xfId="0" applyFont="1" applyFill="1" applyBorder="1" applyAlignment="1">
      <alignment horizontal="center" vertical="center" wrapText="1"/>
    </xf>
    <xf numFmtId="0" fontId="5" fillId="4" borderId="18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5" fillId="4" borderId="19" xfId="0" applyFont="1" applyFill="1" applyBorder="1" applyAlignment="1">
      <alignment horizontal="center" vertical="center" wrapText="1"/>
    </xf>
    <xf numFmtId="0" fontId="8" fillId="2" borderId="20" xfId="0" applyFont="1" applyFill="1" applyBorder="1" applyAlignment="1">
      <alignment horizontal="right" vertical="top" wrapText="1"/>
    </xf>
    <xf numFmtId="0" fontId="8" fillId="6" borderId="21" xfId="0" applyFont="1" applyFill="1" applyBorder="1" applyAlignment="1">
      <alignment vertical="top" wrapText="1"/>
    </xf>
    <xf numFmtId="0" fontId="15" fillId="5" borderId="22" xfId="0" applyFont="1" applyFill="1" applyBorder="1" applyAlignment="1">
      <alignment vertical="top" wrapText="1"/>
    </xf>
    <xf numFmtId="0" fontId="5" fillId="4" borderId="23" xfId="0" applyFont="1" applyFill="1" applyBorder="1" applyAlignment="1">
      <alignment horizontal="center" vertical="center" wrapText="1"/>
    </xf>
    <xf numFmtId="0" fontId="18" fillId="0" borderId="0" xfId="0" applyFont="1" applyAlignment="1">
      <alignment vertical="top"/>
    </xf>
    <xf numFmtId="0" fontId="0" fillId="0" borderId="5" xfId="0" applyBorder="1" applyAlignment="1">
      <alignment vertical="top"/>
    </xf>
    <xf numFmtId="0" fontId="15" fillId="5" borderId="24" xfId="0" applyFont="1" applyFill="1" applyBorder="1" applyAlignment="1">
      <alignment vertical="top" wrapText="1"/>
    </xf>
    <xf numFmtId="0" fontId="0" fillId="0" borderId="17" xfId="0" applyBorder="1" applyAlignment="1">
      <alignment vertical="top"/>
    </xf>
    <xf numFmtId="0" fontId="4" fillId="0" borderId="0" xfId="0" applyFont="1" applyAlignment="1" applyProtection="1">
      <alignment vertical="top"/>
      <protection locked="0"/>
    </xf>
    <xf numFmtId="0" fontId="16" fillId="0" borderId="0" xfId="0" applyFont="1" applyAlignment="1" applyProtection="1">
      <alignment horizontal="left" vertical="top"/>
      <protection locked="0"/>
    </xf>
    <xf numFmtId="0" fontId="0" fillId="0" borderId="5" xfId="0" applyBorder="1" applyAlignment="1">
      <alignment horizontal="left" vertical="top"/>
    </xf>
    <xf numFmtId="0" fontId="0" fillId="0" borderId="16" xfId="0" applyBorder="1" applyAlignment="1">
      <alignment vertical="top"/>
    </xf>
    <xf numFmtId="0" fontId="6" fillId="4" borderId="25" xfId="0" applyFont="1" applyFill="1" applyBorder="1"/>
    <xf numFmtId="0" fontId="6" fillId="4" borderId="9" xfId="0" applyFont="1" applyFill="1" applyBorder="1"/>
    <xf numFmtId="0" fontId="6" fillId="4" borderId="26" xfId="0" applyFont="1" applyFill="1" applyBorder="1"/>
    <xf numFmtId="0" fontId="6" fillId="4" borderId="27" xfId="0" applyFont="1" applyFill="1" applyBorder="1"/>
    <xf numFmtId="0" fontId="6" fillId="4" borderId="27" xfId="0" applyFont="1" applyFill="1" applyBorder="1" applyAlignment="1">
      <alignment wrapText="1"/>
    </xf>
    <xf numFmtId="0" fontId="2" fillId="5" borderId="0" xfId="1" applyFill="1" applyBorder="1" applyAlignment="1" applyProtection="1"/>
    <xf numFmtId="0" fontId="17" fillId="0" borderId="0" xfId="0" applyFont="1" applyAlignment="1">
      <alignment vertical="top"/>
    </xf>
    <xf numFmtId="0" fontId="6" fillId="4" borderId="28" xfId="0" applyFont="1" applyFill="1" applyBorder="1" applyAlignment="1">
      <alignment horizontal="left"/>
    </xf>
    <xf numFmtId="0" fontId="7" fillId="4" borderId="29" xfId="0" applyFont="1" applyFill="1" applyBorder="1" applyAlignment="1">
      <alignment horizontal="left" vertical="center"/>
    </xf>
    <xf numFmtId="0" fontId="0" fillId="0" borderId="30" xfId="0" applyBorder="1" applyAlignment="1">
      <alignment horizontal="left" vertical="top"/>
    </xf>
    <xf numFmtId="0" fontId="8" fillId="2" borderId="31" xfId="0" applyFont="1" applyFill="1" applyBorder="1" applyAlignment="1">
      <alignment horizontal="left" vertical="top" wrapText="1"/>
    </xf>
    <xf numFmtId="0" fontId="8" fillId="6" borderId="32" xfId="0" applyFont="1" applyFill="1" applyBorder="1" applyAlignment="1">
      <alignment horizontal="left" vertical="top" wrapText="1"/>
    </xf>
    <xf numFmtId="0" fontId="0" fillId="0" borderId="33" xfId="0" applyBorder="1" applyAlignment="1">
      <alignment horizontal="left" vertical="top"/>
    </xf>
    <xf numFmtId="0" fontId="6" fillId="4" borderId="9" xfId="0" applyFont="1" applyFill="1" applyBorder="1" applyAlignment="1">
      <alignment horizontal="center"/>
    </xf>
    <xf numFmtId="0" fontId="7" fillId="4" borderId="4" xfId="0" applyFont="1" applyFill="1" applyBorder="1" applyAlignment="1">
      <alignment horizontal="center" vertical="center"/>
    </xf>
    <xf numFmtId="0" fontId="9" fillId="5" borderId="0" xfId="0" applyFont="1" applyFill="1" applyAlignment="1">
      <alignment horizontal="center"/>
    </xf>
    <xf numFmtId="0" fontId="10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8" fillId="2" borderId="12" xfId="0" applyFont="1" applyFill="1" applyBorder="1" applyAlignment="1">
      <alignment horizontal="center" vertical="top" wrapText="1"/>
    </xf>
    <xf numFmtId="0" fontId="8" fillId="6" borderId="14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1" fillId="0" borderId="1" xfId="0" applyFont="1" applyBorder="1" applyAlignment="1" applyProtection="1">
      <alignment horizontal="center" vertical="top"/>
      <protection locked="0"/>
    </xf>
    <xf numFmtId="0" fontId="1" fillId="0" borderId="0" xfId="0" applyFont="1" applyAlignment="1" applyProtection="1">
      <alignment horizontal="center" vertical="top"/>
      <protection locked="0"/>
    </xf>
    <xf numFmtId="0" fontId="20" fillId="0" borderId="0" xfId="0" applyFont="1" applyAlignment="1" applyProtection="1">
      <alignment horizontal="left" vertical="top"/>
      <protection locked="0"/>
    </xf>
    <xf numFmtId="2" fontId="8" fillId="2" borderId="20" xfId="0" applyNumberFormat="1" applyFont="1" applyFill="1" applyBorder="1" applyAlignment="1">
      <alignment horizontal="right" vertical="top" wrapText="1"/>
    </xf>
    <xf numFmtId="2" fontId="8" fillId="6" borderId="21" xfId="0" applyNumberFormat="1" applyFont="1" applyFill="1" applyBorder="1" applyAlignment="1">
      <alignment vertical="top" wrapText="1"/>
    </xf>
    <xf numFmtId="0" fontId="0" fillId="0" borderId="6" xfId="0" applyBorder="1" applyAlignment="1">
      <alignment horizontal="center" vertical="top"/>
    </xf>
    <xf numFmtId="0" fontId="0" fillId="0" borderId="6" xfId="0" applyBorder="1" applyAlignment="1">
      <alignment vertical="top"/>
    </xf>
    <xf numFmtId="0" fontId="19" fillId="0" borderId="6" xfId="0" applyFont="1" applyBorder="1" applyAlignment="1">
      <alignment vertical="top"/>
    </xf>
    <xf numFmtId="0" fontId="0" fillId="0" borderId="3" xfId="0" applyBorder="1" applyAlignment="1">
      <alignment horizontal="left" vertical="top"/>
    </xf>
    <xf numFmtId="0" fontId="0" fillId="0" borderId="39" xfId="0" applyBorder="1" applyAlignment="1">
      <alignment horizontal="left" vertical="top"/>
    </xf>
    <xf numFmtId="0" fontId="21" fillId="0" borderId="0" xfId="0" applyFont="1" applyAlignment="1">
      <alignment horizontal="center" vertical="top"/>
    </xf>
    <xf numFmtId="0" fontId="22" fillId="5" borderId="0" xfId="0" applyFont="1" applyFill="1"/>
    <xf numFmtId="0" fontId="20" fillId="0" borderId="0" xfId="0" quotePrefix="1" applyFont="1" applyAlignment="1" applyProtection="1">
      <alignment horizontal="right" vertical="top"/>
      <protection locked="0"/>
    </xf>
    <xf numFmtId="0" fontId="19" fillId="0" borderId="0" xfId="0" quotePrefix="1" applyFont="1" applyAlignment="1">
      <alignment vertical="top"/>
    </xf>
    <xf numFmtId="0" fontId="4" fillId="0" borderId="0" xfId="0" quotePrefix="1" applyFont="1" applyAlignment="1">
      <alignment horizontal="left" vertical="top"/>
    </xf>
    <xf numFmtId="0" fontId="14" fillId="6" borderId="9" xfId="0" quotePrefix="1" applyFont="1" applyFill="1" applyBorder="1" applyAlignment="1">
      <alignment horizontal="left" vertical="center"/>
    </xf>
    <xf numFmtId="0" fontId="14" fillId="3" borderId="0" xfId="0" quotePrefix="1" applyFont="1" applyFill="1" applyAlignment="1">
      <alignment horizontal="left" vertical="center"/>
    </xf>
    <xf numFmtId="0" fontId="14" fillId="6" borderId="0" xfId="0" quotePrefix="1" applyFont="1" applyFill="1" applyAlignment="1">
      <alignment horizontal="left" vertical="center"/>
    </xf>
    <xf numFmtId="0" fontId="4" fillId="0" borderId="6" xfId="0" applyFont="1" applyBorder="1" applyAlignment="1" applyProtection="1">
      <alignment vertical="top"/>
      <protection locked="0"/>
    </xf>
    <xf numFmtId="0" fontId="1" fillId="0" borderId="40" xfId="0" applyFont="1" applyBorder="1" applyAlignment="1" applyProtection="1">
      <alignment vertical="top"/>
      <protection locked="0"/>
    </xf>
    <xf numFmtId="0" fontId="0" fillId="0" borderId="6" xfId="0" applyBorder="1" applyAlignment="1">
      <alignment horizontal="left" vertical="top"/>
    </xf>
    <xf numFmtId="0" fontId="0" fillId="0" borderId="36" xfId="0" applyBorder="1" applyAlignment="1">
      <alignment vertical="top"/>
    </xf>
    <xf numFmtId="0" fontId="0" fillId="7" borderId="6" xfId="0" applyFill="1" applyBorder="1" applyAlignment="1">
      <alignment vertical="top"/>
    </xf>
    <xf numFmtId="0" fontId="21" fillId="0" borderId="0" xfId="0" applyFont="1" applyAlignment="1">
      <alignment horizontal="left" vertical="top"/>
    </xf>
    <xf numFmtId="0" fontId="8" fillId="2" borderId="41" xfId="0" applyFont="1" applyFill="1" applyBorder="1" applyAlignment="1">
      <alignment vertical="top" wrapText="1"/>
    </xf>
    <xf numFmtId="0" fontId="8" fillId="2" borderId="42" xfId="0" applyFont="1" applyFill="1" applyBorder="1" applyAlignment="1">
      <alignment vertical="top" wrapText="1"/>
    </xf>
    <xf numFmtId="0" fontId="8" fillId="2" borderId="43" xfId="0" applyFont="1" applyFill="1" applyBorder="1" applyAlignment="1">
      <alignment vertical="top" wrapText="1"/>
    </xf>
    <xf numFmtId="0" fontId="8" fillId="2" borderId="43" xfId="0" applyFont="1" applyFill="1" applyBorder="1" applyAlignment="1">
      <alignment horizontal="center" vertical="top" wrapText="1"/>
    </xf>
    <xf numFmtId="0" fontId="8" fillId="2" borderId="22" xfId="0" applyFont="1" applyFill="1" applyBorder="1" applyAlignment="1">
      <alignment vertical="top" wrapText="1"/>
    </xf>
    <xf numFmtId="2" fontId="8" fillId="2" borderId="22" xfId="0" applyNumberFormat="1" applyFont="1" applyFill="1" applyBorder="1" applyAlignment="1">
      <alignment vertical="top" wrapText="1"/>
    </xf>
    <xf numFmtId="0" fontId="8" fillId="2" borderId="44" xfId="0" applyFont="1" applyFill="1" applyBorder="1" applyAlignment="1">
      <alignment horizontal="left" vertical="top" wrapText="1"/>
    </xf>
    <xf numFmtId="0" fontId="9" fillId="5" borderId="0" xfId="0" applyFont="1" applyFill="1" applyAlignment="1">
      <alignment horizontal="left"/>
    </xf>
    <xf numFmtId="0" fontId="9" fillId="5" borderId="5" xfId="0" applyFont="1" applyFill="1" applyBorder="1" applyAlignment="1">
      <alignment horizontal="left"/>
    </xf>
    <xf numFmtId="0" fontId="23" fillId="5" borderId="0" xfId="0" applyFont="1" applyFill="1"/>
    <xf numFmtId="0" fontId="24" fillId="5" borderId="1" xfId="0" applyFont="1" applyFill="1" applyBorder="1" applyAlignment="1">
      <alignment horizontal="left"/>
    </xf>
    <xf numFmtId="0" fontId="24" fillId="5" borderId="6" xfId="0" applyFont="1" applyFill="1" applyBorder="1"/>
    <xf numFmtId="164" fontId="24" fillId="5" borderId="6" xfId="0" applyNumberFormat="1" applyFont="1" applyFill="1" applyBorder="1" applyAlignment="1">
      <alignment horizontal="left"/>
    </xf>
    <xf numFmtId="165" fontId="24" fillId="5" borderId="6" xfId="0" applyNumberFormat="1" applyFont="1" applyFill="1" applyBorder="1" applyAlignment="1">
      <alignment horizontal="left"/>
    </xf>
    <xf numFmtId="0" fontId="25" fillId="4" borderId="4" xfId="0" applyFont="1" applyFill="1" applyBorder="1" applyAlignment="1">
      <alignment vertical="center"/>
    </xf>
    <xf numFmtId="0" fontId="16" fillId="0" borderId="0" xfId="0" applyFont="1" applyAlignment="1" applyProtection="1">
      <alignment horizontal="left" vertical="top"/>
      <protection locked="0"/>
    </xf>
    <xf numFmtId="0" fontId="18" fillId="0" borderId="34" xfId="0" applyFont="1" applyBorder="1" applyAlignment="1">
      <alignment vertical="top"/>
    </xf>
    <xf numFmtId="0" fontId="0" fillId="0" borderId="35" xfId="0" applyBorder="1" applyAlignment="1">
      <alignment vertical="top"/>
    </xf>
    <xf numFmtId="2" fontId="0" fillId="0" borderId="9" xfId="0" applyNumberFormat="1" applyBorder="1" applyAlignment="1">
      <alignment horizontal="right" vertical="top"/>
    </xf>
    <xf numFmtId="0" fontId="18" fillId="0" borderId="37" xfId="0" applyFont="1" applyBorder="1" applyAlignment="1">
      <alignment vertical="top"/>
    </xf>
    <xf numFmtId="0" fontId="0" fillId="0" borderId="38" xfId="0" applyBorder="1" applyAlignment="1">
      <alignment vertical="top"/>
    </xf>
  </cellXfs>
  <cellStyles count="2">
    <cellStyle name="Hiperlink" xfId="1" builtinId="8"/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ECE9D8"/>
      <rgbColor rgb="00000000"/>
      <rgbColor rgb="00ECE9D8"/>
      <rgbColor rgb="00000000"/>
      <rgbColor rgb="00FFFFFF"/>
      <rgbColor rgb="00000000"/>
      <rgbColor rgb="00FFFFFF"/>
      <rgbColor rgb="00000000"/>
      <rgbColor rgb="00ECE9D8"/>
      <rgbColor rgb="00000000"/>
      <rgbColor rgb="00F1EFE2"/>
      <rgbColor rgb="0000000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33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469494</xdr:colOff>
      <xdr:row>1</xdr:row>
      <xdr:rowOff>317450</xdr:rowOff>
    </xdr:from>
    <xdr:to>
      <xdr:col>14</xdr:col>
      <xdr:colOff>185563</xdr:colOff>
      <xdr:row>7</xdr:row>
      <xdr:rowOff>178904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9941CFB-30AA-DA20-0766-CD15C99519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191581" y="489728"/>
          <a:ext cx="1412347" cy="1411959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O23"/>
  <sheetViews>
    <sheetView showGridLines="0" tabSelected="1" zoomScale="85" zoomScaleNormal="85" workbookViewId="0">
      <selection activeCell="F2" sqref="F2"/>
    </sheetView>
  </sheetViews>
  <sheetFormatPr defaultColWidth="9.109375" defaultRowHeight="13.2" x14ac:dyDescent="0.25"/>
  <cols>
    <col min="1" max="1" width="3.109375" style="1" customWidth="1"/>
    <col min="2" max="2" width="5.44140625" style="1" customWidth="1"/>
    <col min="3" max="3" width="25.6640625" style="3" customWidth="1"/>
    <col min="4" max="4" width="28.6640625" style="3" customWidth="1"/>
    <col min="5" max="5" width="21.44140625" style="3" customWidth="1"/>
    <col min="6" max="6" width="20.109375" style="1" customWidth="1"/>
    <col min="7" max="7" width="31" style="1" customWidth="1"/>
    <col min="8" max="8" width="8.5546875" style="1" customWidth="1"/>
    <col min="9" max="9" width="15.88671875" style="66" customWidth="1"/>
    <col min="10" max="10" width="18.109375" style="1" customWidth="1"/>
    <col min="11" max="11" width="7.5546875" style="1" customWidth="1"/>
    <col min="12" max="12" width="8.109375" style="1" customWidth="1"/>
    <col min="13" max="13" width="8.5546875" style="1" customWidth="1"/>
    <col min="14" max="14" width="8" style="1" customWidth="1"/>
    <col min="15" max="15" width="8.33203125" style="3" customWidth="1"/>
    <col min="16" max="16384" width="9.109375" style="1"/>
  </cols>
  <sheetData>
    <row r="1" spans="1:15" ht="13.8" thickBot="1" x14ac:dyDescent="0.3">
      <c r="A1" s="46"/>
      <c r="B1" s="47"/>
      <c r="C1" s="48"/>
      <c r="D1" s="48"/>
      <c r="E1" s="48"/>
      <c r="F1" s="47"/>
      <c r="G1" s="47"/>
      <c r="H1" s="47"/>
      <c r="I1" s="59"/>
      <c r="J1" s="47"/>
      <c r="K1" s="47"/>
      <c r="L1" s="47"/>
      <c r="M1" s="47"/>
      <c r="N1" s="47"/>
      <c r="O1" s="53"/>
    </row>
    <row r="2" spans="1:15" ht="37.5" customHeight="1" thickBot="1" x14ac:dyDescent="0.3">
      <c r="A2" s="49"/>
      <c r="B2" s="18"/>
      <c r="C2" s="18" t="s">
        <v>19</v>
      </c>
      <c r="E2" s="19"/>
      <c r="F2" s="105" t="s">
        <v>69</v>
      </c>
      <c r="G2" s="9"/>
      <c r="H2" s="9"/>
      <c r="I2" s="60"/>
      <c r="J2" s="9"/>
      <c r="K2" s="9"/>
      <c r="L2" s="9"/>
      <c r="M2" s="9"/>
      <c r="N2" s="9"/>
      <c r="O2" s="54"/>
    </row>
    <row r="3" spans="1:15" ht="23.25" customHeight="1" x14ac:dyDescent="0.25">
      <c r="A3" s="49"/>
      <c r="B3" s="10"/>
      <c r="C3" s="10" t="s">
        <v>14</v>
      </c>
      <c r="D3" s="98" t="s">
        <v>64</v>
      </c>
      <c r="E3" s="10"/>
      <c r="G3" s="10" t="s">
        <v>25</v>
      </c>
      <c r="I3" s="61"/>
      <c r="J3" s="10"/>
      <c r="K3" s="12" t="s">
        <v>24</v>
      </c>
      <c r="M3" s="2"/>
      <c r="O3" s="55"/>
    </row>
    <row r="4" spans="1:15" ht="17.25" customHeight="1" x14ac:dyDescent="0.25">
      <c r="A4" s="49"/>
      <c r="B4" s="10"/>
      <c r="C4" s="10" t="s">
        <v>15</v>
      </c>
      <c r="D4" s="99" t="s">
        <v>65</v>
      </c>
      <c r="E4" s="13"/>
      <c r="G4" s="52" t="s">
        <v>34</v>
      </c>
      <c r="H4" s="12"/>
      <c r="I4" s="62"/>
      <c r="J4" s="12"/>
      <c r="O4" s="55"/>
    </row>
    <row r="5" spans="1:15" ht="17.25" customHeight="1" x14ac:dyDescent="0.4">
      <c r="A5" s="49"/>
      <c r="B5" s="10"/>
      <c r="C5" s="10" t="s">
        <v>16</v>
      </c>
      <c r="D5" s="14" t="s">
        <v>66</v>
      </c>
      <c r="E5" s="15"/>
      <c r="G5" s="2" t="s">
        <v>36</v>
      </c>
      <c r="H5" s="12"/>
      <c r="I5" s="62"/>
      <c r="J5" s="12"/>
      <c r="K5" s="78" t="s">
        <v>50</v>
      </c>
      <c r="O5" s="55"/>
    </row>
    <row r="6" spans="1:15" x14ac:dyDescent="0.25">
      <c r="A6" s="49"/>
      <c r="B6" s="16"/>
      <c r="C6" s="16"/>
      <c r="D6" s="16"/>
      <c r="E6" s="14"/>
      <c r="F6" s="11"/>
      <c r="G6" s="2" t="s">
        <v>37</v>
      </c>
      <c r="H6" s="12"/>
      <c r="I6" s="62"/>
      <c r="J6" s="12"/>
      <c r="K6" s="10"/>
      <c r="O6" s="55"/>
    </row>
    <row r="7" spans="1:15" ht="15.75" customHeight="1" x14ac:dyDescent="0.25">
      <c r="A7" s="49"/>
      <c r="B7" s="17"/>
      <c r="C7" s="100" t="s">
        <v>18</v>
      </c>
      <c r="D7" s="101" t="s">
        <v>67</v>
      </c>
      <c r="E7" s="101" t="s">
        <v>68</v>
      </c>
      <c r="G7" s="2" t="s">
        <v>40</v>
      </c>
      <c r="H7" s="17"/>
      <c r="I7" s="63"/>
      <c r="J7" s="17"/>
      <c r="K7" s="51"/>
      <c r="O7" s="55"/>
    </row>
    <row r="8" spans="1:15" ht="15.75" customHeight="1" x14ac:dyDescent="0.25">
      <c r="A8" s="49"/>
      <c r="B8" s="15"/>
      <c r="C8" s="102" t="s">
        <v>17</v>
      </c>
      <c r="D8" s="103">
        <f ca="1">TODAY()</f>
        <v>45988</v>
      </c>
      <c r="E8" s="104">
        <f ca="1">NOW()</f>
        <v>45988.932265509262</v>
      </c>
      <c r="G8" s="17"/>
      <c r="H8" s="17"/>
      <c r="I8" s="63"/>
      <c r="J8" s="17"/>
      <c r="K8" s="12"/>
      <c r="O8" s="55"/>
    </row>
    <row r="9" spans="1:15" s="32" customFormat="1" ht="40.5" customHeight="1" x14ac:dyDescent="0.25">
      <c r="A9" s="50"/>
      <c r="B9" s="29" t="s">
        <v>22</v>
      </c>
      <c r="C9" s="30" t="s">
        <v>51</v>
      </c>
      <c r="D9" s="30" t="s">
        <v>52</v>
      </c>
      <c r="E9" s="30" t="s">
        <v>53</v>
      </c>
      <c r="F9" s="30" t="s">
        <v>54</v>
      </c>
      <c r="G9" s="30" t="s">
        <v>55</v>
      </c>
      <c r="H9" s="30" t="s">
        <v>56</v>
      </c>
      <c r="I9" s="30" t="s">
        <v>57</v>
      </c>
      <c r="J9" s="30" t="s">
        <v>58</v>
      </c>
      <c r="K9" s="33" t="s">
        <v>59</v>
      </c>
      <c r="L9" s="37" t="s">
        <v>60</v>
      </c>
      <c r="M9" s="31" t="s">
        <v>61</v>
      </c>
      <c r="N9" s="31" t="s">
        <v>62</v>
      </c>
      <c r="O9" s="31" t="s">
        <v>63</v>
      </c>
    </row>
    <row r="10" spans="1:15" s="2" customFormat="1" ht="13.5" customHeight="1" x14ac:dyDescent="0.25">
      <c r="A10" s="49"/>
      <c r="B10" s="23">
        <f>ROW(B10) - ROW($B$9)</f>
        <v>1</v>
      </c>
      <c r="C10" s="22"/>
      <c r="D10" s="22"/>
      <c r="E10" s="24"/>
      <c r="F10" s="24"/>
      <c r="G10" s="24"/>
      <c r="H10" s="24"/>
      <c r="I10" s="64"/>
      <c r="J10" s="24"/>
      <c r="K10" s="34"/>
      <c r="L10" s="34"/>
      <c r="M10" s="70"/>
      <c r="N10" s="70"/>
      <c r="O10" s="56"/>
    </row>
    <row r="11" spans="1:15" s="2" customFormat="1" ht="13.5" customHeight="1" x14ac:dyDescent="0.25">
      <c r="A11" s="49"/>
      <c r="B11" s="25">
        <f>ROW(B11) - ROW($B$9)</f>
        <v>2</v>
      </c>
      <c r="C11" s="26"/>
      <c r="D11" s="26"/>
      <c r="E11" s="26"/>
      <c r="F11" s="26"/>
      <c r="G11" s="26"/>
      <c r="H11" s="26"/>
      <c r="I11" s="65"/>
      <c r="J11" s="26"/>
      <c r="K11" s="35"/>
      <c r="L11" s="35"/>
      <c r="M11" s="71"/>
      <c r="N11" s="71"/>
      <c r="O11" s="57"/>
    </row>
    <row r="12" spans="1:15" s="2" customFormat="1" ht="13.5" customHeight="1" x14ac:dyDescent="0.25">
      <c r="A12" s="49"/>
      <c r="B12" s="91">
        <f>ROW(B12) - ROW($B$9)</f>
        <v>3</v>
      </c>
      <c r="C12" s="92"/>
      <c r="D12" s="92"/>
      <c r="E12" s="93"/>
      <c r="F12" s="93"/>
      <c r="G12" s="93"/>
      <c r="H12" s="93"/>
      <c r="I12" s="94"/>
      <c r="J12" s="93"/>
      <c r="K12" s="95"/>
      <c r="L12" s="95"/>
      <c r="M12" s="96"/>
      <c r="N12" s="96"/>
      <c r="O12" s="97"/>
    </row>
    <row r="13" spans="1:15" x14ac:dyDescent="0.25">
      <c r="A13" s="49"/>
      <c r="B13" s="45"/>
      <c r="C13" s="44"/>
      <c r="D13" s="28"/>
      <c r="E13" s="27"/>
      <c r="F13" s="41"/>
      <c r="H13" s="40">
        <f>SUM(H10:H12)</f>
        <v>0</v>
      </c>
      <c r="J13" s="36"/>
      <c r="K13" s="40">
        <f>SUM(K10:K12)</f>
        <v>0</v>
      </c>
      <c r="L13" s="39"/>
      <c r="M13" s="39"/>
      <c r="N13" s="39">
        <f>SUM(N10:N12)</f>
        <v>0</v>
      </c>
      <c r="O13" s="58"/>
    </row>
    <row r="14" spans="1:15" ht="13.8" thickBot="1" x14ac:dyDescent="0.3">
      <c r="A14" s="49"/>
      <c r="B14" s="106" t="s">
        <v>20</v>
      </c>
      <c r="C14" s="106"/>
      <c r="D14" s="5"/>
      <c r="E14" s="7"/>
      <c r="F14" s="43" t="s">
        <v>21</v>
      </c>
      <c r="G14" s="4"/>
      <c r="H14" s="4"/>
      <c r="I14" s="67"/>
      <c r="O14" s="55"/>
    </row>
    <row r="15" spans="1:15" ht="25.2" thickBot="1" x14ac:dyDescent="0.3">
      <c r="A15" s="49"/>
      <c r="B15" s="6"/>
      <c r="C15" s="6"/>
      <c r="D15" s="6"/>
      <c r="E15" s="8"/>
      <c r="F15" s="5"/>
      <c r="G15" s="5"/>
      <c r="H15" s="79" t="s">
        <v>41</v>
      </c>
      <c r="I15" s="69" t="s">
        <v>27</v>
      </c>
      <c r="J15" s="38" t="s">
        <v>23</v>
      </c>
      <c r="L15" s="107">
        <f>N13</f>
        <v>0</v>
      </c>
      <c r="M15" s="108"/>
      <c r="N15" s="80" t="s">
        <v>42</v>
      </c>
      <c r="O15" s="55"/>
    </row>
    <row r="16" spans="1:15" x14ac:dyDescent="0.25">
      <c r="A16" s="49"/>
      <c r="B16" s="6"/>
      <c r="C16" s="6"/>
      <c r="D16" s="6"/>
      <c r="E16" s="8"/>
      <c r="F16" s="5"/>
      <c r="G16" s="5"/>
      <c r="H16" s="5"/>
      <c r="I16" s="68"/>
      <c r="J16" s="42" t="s">
        <v>26</v>
      </c>
      <c r="K16" s="6"/>
      <c r="L16" s="109">
        <f>L15/H15</f>
        <v>0</v>
      </c>
      <c r="M16" s="109"/>
      <c r="N16" s="81" t="s">
        <v>42</v>
      </c>
      <c r="O16" s="55"/>
    </row>
    <row r="17" spans="1:15" ht="13.8" thickBot="1" x14ac:dyDescent="0.3">
      <c r="A17" s="49"/>
      <c r="B17" s="86"/>
      <c r="C17" s="6"/>
      <c r="D17" s="6"/>
      <c r="E17" s="8"/>
      <c r="F17" s="5"/>
      <c r="G17" s="5"/>
      <c r="H17" s="5"/>
      <c r="I17" s="68"/>
      <c r="J17" s="5"/>
      <c r="K17" s="6"/>
      <c r="O17" s="75"/>
    </row>
    <row r="18" spans="1:15" ht="24.6" x14ac:dyDescent="0.25">
      <c r="A18" s="89"/>
      <c r="B18" s="88"/>
      <c r="C18" s="87"/>
      <c r="D18" s="87"/>
      <c r="E18" s="87"/>
      <c r="F18" s="88"/>
      <c r="G18" s="73"/>
      <c r="H18" s="85" t="s">
        <v>29</v>
      </c>
      <c r="I18" s="72">
        <v>5.43</v>
      </c>
      <c r="J18" s="73" t="s">
        <v>28</v>
      </c>
      <c r="K18" s="73"/>
      <c r="L18" s="110">
        <f>L15*I18</f>
        <v>0</v>
      </c>
      <c r="M18" s="111"/>
      <c r="N18" s="74" t="s">
        <v>30</v>
      </c>
      <c r="O18" s="76"/>
    </row>
    <row r="19" spans="1:15" x14ac:dyDescent="0.25">
      <c r="C19" s="1"/>
      <c r="D19" s="1"/>
      <c r="E19" s="1"/>
    </row>
    <row r="20" spans="1:15" x14ac:dyDescent="0.25">
      <c r="C20" s="1"/>
      <c r="D20" s="1"/>
      <c r="E20" s="1"/>
    </row>
    <row r="21" spans="1:15" x14ac:dyDescent="0.25">
      <c r="C21" s="1"/>
      <c r="D21" s="1"/>
      <c r="E21" s="1"/>
    </row>
    <row r="22" spans="1:15" x14ac:dyDescent="0.25">
      <c r="D22" s="90"/>
    </row>
    <row r="23" spans="1:15" x14ac:dyDescent="0.25">
      <c r="I23" s="77"/>
    </row>
  </sheetData>
  <mergeCells count="4">
    <mergeCell ref="B14:C14"/>
    <mergeCell ref="L15:M15"/>
    <mergeCell ref="L16:M16"/>
    <mergeCell ref="L18:M18"/>
  </mergeCells>
  <phoneticPr fontId="0" type="noConversion"/>
  <conditionalFormatting sqref="L10:L12">
    <cfRule type="cellIs" dxfId="1" priority="2" operator="lessThan">
      <formula>1</formula>
    </cfRule>
  </conditionalFormatting>
  <conditionalFormatting sqref="N10:N12">
    <cfRule type="containsBlanks" dxfId="0" priority="1">
      <formula>LEN(TRIM(N10))=0</formula>
    </cfRule>
  </conditionalFormatting>
  <pageMargins left="0.47244094488188981" right="0.35433070866141736" top="0.59055118110236227" bottom="0.98425196850393704" header="0.51181102362204722" footer="0.51181102362204722"/>
  <pageSetup paperSize="9" scale="57" orientation="landscape" horizontalDpi="200" verticalDpi="200" r:id="rId1"/>
  <headerFooter alignWithMargins="0">
    <oddHeader>&amp;LCreated by FEDEVEL&amp;CMotherboard, Processor and Microcontroller Board Design&amp;Rhttp://www.fedevel.com</oddHeader>
    <oddFooter>&amp;C&amp;D&amp;R&amp;P/&amp;N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B14"/>
  <sheetViews>
    <sheetView workbookViewId="0">
      <selection activeCell="B7" sqref="B7"/>
    </sheetView>
  </sheetViews>
  <sheetFormatPr defaultRowHeight="13.2" x14ac:dyDescent="0.25"/>
  <cols>
    <col min="1" max="1" width="28" bestFit="1" customWidth="1"/>
    <col min="2" max="2" width="110.5546875" customWidth="1"/>
  </cols>
  <sheetData>
    <row r="1" spans="1:2" x14ac:dyDescent="0.25">
      <c r="A1" s="21" t="s">
        <v>0</v>
      </c>
      <c r="B1" s="82" t="s">
        <v>43</v>
      </c>
    </row>
    <row r="2" spans="1:2" x14ac:dyDescent="0.25">
      <c r="A2" s="20" t="s">
        <v>1</v>
      </c>
      <c r="B2" s="83" t="s">
        <v>33</v>
      </c>
    </row>
    <row r="3" spans="1:2" x14ac:dyDescent="0.25">
      <c r="A3" s="21" t="s">
        <v>2</v>
      </c>
      <c r="B3" s="84" t="s">
        <v>35</v>
      </c>
    </row>
    <row r="4" spans="1:2" x14ac:dyDescent="0.25">
      <c r="A4" s="20" t="s">
        <v>3</v>
      </c>
      <c r="B4" s="83" t="s">
        <v>32</v>
      </c>
    </row>
    <row r="5" spans="1:2" x14ac:dyDescent="0.25">
      <c r="A5" s="21" t="s">
        <v>4</v>
      </c>
      <c r="B5" s="84" t="s">
        <v>44</v>
      </c>
    </row>
    <row r="6" spans="1:2" x14ac:dyDescent="0.25">
      <c r="A6" s="20" t="s">
        <v>5</v>
      </c>
      <c r="B6" s="83" t="s">
        <v>31</v>
      </c>
    </row>
    <row r="7" spans="1:2" x14ac:dyDescent="0.25">
      <c r="A7" s="21" t="s">
        <v>6</v>
      </c>
      <c r="B7" s="84" t="s">
        <v>45</v>
      </c>
    </row>
    <row r="8" spans="1:2" x14ac:dyDescent="0.25">
      <c r="A8" s="20" t="s">
        <v>7</v>
      </c>
      <c r="B8" s="83" t="s">
        <v>39</v>
      </c>
    </row>
    <row r="9" spans="1:2" x14ac:dyDescent="0.25">
      <c r="A9" s="21" t="s">
        <v>8</v>
      </c>
      <c r="B9" s="84" t="s">
        <v>38</v>
      </c>
    </row>
    <row r="10" spans="1:2" x14ac:dyDescent="0.25">
      <c r="A10" s="20" t="s">
        <v>9</v>
      </c>
      <c r="B10" s="83" t="s">
        <v>46</v>
      </c>
    </row>
    <row r="11" spans="1:2" x14ac:dyDescent="0.25">
      <c r="A11" s="21" t="s">
        <v>10</v>
      </c>
      <c r="B11" s="84" t="s">
        <v>47</v>
      </c>
    </row>
    <row r="12" spans="1:2" x14ac:dyDescent="0.25">
      <c r="A12" s="20" t="s">
        <v>11</v>
      </c>
      <c r="B12" s="83" t="s">
        <v>48</v>
      </c>
    </row>
    <row r="13" spans="1:2" x14ac:dyDescent="0.25">
      <c r="A13" s="21" t="s">
        <v>12</v>
      </c>
      <c r="B13" s="84" t="s">
        <v>49</v>
      </c>
    </row>
    <row r="14" spans="1:2" x14ac:dyDescent="0.25">
      <c r="A14" s="20" t="s">
        <v>13</v>
      </c>
      <c r="B14" s="83" t="s">
        <v>47</v>
      </c>
    </row>
  </sheetData>
  <phoneticPr fontId="0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Part List Report</vt:lpstr>
      <vt:lpstr>Project Information</vt:lpstr>
    </vt:vector>
  </TitlesOfParts>
  <Company>Altium Limited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Hugo Domingus Bogo</dc:creator>
  <cp:lastModifiedBy>Vitor Hugo Domingus Bogo</cp:lastModifiedBy>
  <cp:lastPrinted>2012-02-04T13:58:31Z</cp:lastPrinted>
  <dcterms:created xsi:type="dcterms:W3CDTF">2002-11-05T15:28:02Z</dcterms:created>
  <dcterms:modified xsi:type="dcterms:W3CDTF">2025-11-28T01:22:28Z</dcterms:modified>
</cp:coreProperties>
</file>
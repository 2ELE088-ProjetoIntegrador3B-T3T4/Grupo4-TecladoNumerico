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tor\AppData\Local\Temp\"/>
    </mc:Choice>
  </mc:AlternateContent>
  <xr:revisionPtr revIDLastSave="0" documentId="8_{6B13C6BC-9E1A-41BE-9D5C-FC1371CA4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N22" i="3"/>
  <c r="L24" i="3" s="1"/>
  <c r="L25" i="3" s="1"/>
  <c r="K22" i="3"/>
  <c r="H22" i="3"/>
  <c r="B3" i="3"/>
  <c r="B2" i="3"/>
  <c r="L27" i="3" l="1"/>
</calcChain>
</file>

<file path=xl/sharedStrings.xml><?xml version="1.0" encoding="utf-8"?>
<sst xmlns="http://schemas.openxmlformats.org/spreadsheetml/2006/main" count="195" uniqueCount="142">
  <si>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</si>
  <si>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</si>
  <si>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</si>
  <si>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</si>
  <si>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</si>
  <si>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</si>
  <si>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</si>
  <si>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</si>
  <si>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</si>
  <si>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</si>
  <si>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</si>
  <si>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</si>
  <si>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</si>
  <si>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</si>
  <si>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Approved</t>
  </si>
  <si>
    <t>Notes</t>
  </si>
  <si>
    <t>#</t>
  </si>
  <si>
    <t>Total</t>
  </si>
  <si>
    <t>Price for 1pcs</t>
  </si>
  <si>
    <t>pcs:</t>
  </si>
  <si>
    <t>Total em Reais:</t>
  </si>
  <si>
    <t>VD:</t>
  </si>
  <si>
    <t>Reais</t>
  </si>
  <si>
    <t>Bill of Materials for BOM Document [Projetos Leds.BomDoc]</t>
  </si>
  <si>
    <t>Projetos Leds.BomDoc</t>
  </si>
  <si>
    <t>Projetos Leds.PrjPcb</t>
  </si>
  <si>
    <t>None</t>
  </si>
  <si>
    <t>31/08/2025</t>
  </si>
  <si>
    <t>23:42</t>
  </si>
  <si>
    <t>1</t>
  </si>
  <si>
    <t>USD</t>
  </si>
  <si>
    <t>H:\OneDrive-UEL\OneDrive - Universidade Estadual de Londrina\[1]-Pcompartilhada\[3]-3_ano\PI 3B\altium\Led at\assignment1-led-pcb-VitorHugo-UEL\Projetos Leds\Projetos Leds.PrjPcb</t>
  </si>
  <si>
    <t>H:\OneDrive-UEL\OneDrive - Universidade Estadual de Londrina\[1]-Pcompartilhada\[3]-3_ano\PI 3B\altium\Led at\assignment1-led-pcb-VitorHugo-UEL\Projetos Leds\Projetos Leds.BomDoc</t>
  </si>
  <si>
    <t>5</t>
  </si>
  <si>
    <t>31/08/2025 23:42</t>
  </si>
  <si>
    <t>Bill of Materials</t>
  </si>
  <si>
    <t>BomReport</t>
  </si>
  <si>
    <t>BOM</t>
  </si>
  <si>
    <t>Category</t>
  </si>
  <si>
    <t>Ceramic Capacitors</t>
  </si>
  <si>
    <t>Chip SMD Resistors</t>
  </si>
  <si>
    <t>Card Edge Connectors</t>
  </si>
  <si>
    <t>Crystals</t>
  </si>
  <si>
    <t>Rectifier Diodes</t>
  </si>
  <si>
    <t>Fuses</t>
  </si>
  <si>
    <t>Switch Accessories</t>
  </si>
  <si>
    <t>Microcontrollers</t>
  </si>
  <si>
    <t>LDO Voltage Regulators</t>
  </si>
  <si>
    <t>Pushbutton Switches</t>
  </si>
  <si>
    <t>USB Connectors</t>
  </si>
  <si>
    <t>TVS Diodes</t>
  </si>
  <si>
    <t>Manufacturer 1</t>
  </si>
  <si>
    <t>Samsung Electro-Mechanics</t>
  </si>
  <si>
    <t>Yageo Group</t>
  </si>
  <si>
    <t>Vishay</t>
  </si>
  <si>
    <t>Murata</t>
  </si>
  <si>
    <t>Sullins</t>
  </si>
  <si>
    <t>ECS International</t>
  </si>
  <si>
    <t>MCC</t>
  </si>
  <si>
    <t>Panasonic</t>
  </si>
  <si>
    <t>Adafruit Industries</t>
  </si>
  <si>
    <t>STMicroelectronics</t>
  </si>
  <si>
    <t>Taiyo Yuden</t>
  </si>
  <si>
    <t>KOA Speer</t>
  </si>
  <si>
    <t>Richtek</t>
  </si>
  <si>
    <t>Cherry</t>
  </si>
  <si>
    <t>Global Connector Technology</t>
  </si>
  <si>
    <t>Bourns</t>
  </si>
  <si>
    <t>Manufacturer Part Number 1</t>
  </si>
  <si>
    <t>CL10B105KP8NNNC</t>
  </si>
  <si>
    <t>CC0603KRX7R7BB104</t>
  </si>
  <si>
    <t>CRCW060310K0FKEA</t>
  </si>
  <si>
    <t>GRM033R60J223KE01D</t>
  </si>
  <si>
    <t>CL05C330JB5NNNC</t>
  </si>
  <si>
    <t>SBH11-PBPC-D10-ST-BK</t>
  </si>
  <si>
    <t>ECS-80-20-5PXDU-TR</t>
  </si>
  <si>
    <t>1N4148WX-TP</t>
  </si>
  <si>
    <t>ERB-RD0R50X</t>
  </si>
  <si>
    <t>STM32F103C8T6</t>
  </si>
  <si>
    <t>LMK107BBJ106MALT</t>
  </si>
  <si>
    <t>RK73H1ETTP5101F</t>
  </si>
  <si>
    <t>ERJ-3EKF1004V</t>
  </si>
  <si>
    <t>ERA-2AEB152X</t>
  </si>
  <si>
    <t>RT9193-33GB</t>
  </si>
  <si>
    <t>MX1A-C1NN</t>
  </si>
  <si>
    <t>USB4110-GF-A</t>
  </si>
  <si>
    <t>USBLC6-2SC6</t>
  </si>
  <si>
    <t>CR0402AJ/-000GAS</t>
  </si>
  <si>
    <t>Case/Package</t>
  </si>
  <si>
    <t>LQFP</t>
  </si>
  <si>
    <t>SOT-23-5</t>
  </si>
  <si>
    <t>SOT-23</t>
  </si>
  <si>
    <t>Description</t>
  </si>
  <si>
    <t>10V 1uF X7R ±10% 0603 Multilayer Ceramic Capacitors MLCC - SMD/SMT ROHS</t>
  </si>
  <si>
    <t>16V 100nF X7R ±10% 0603 Multilayer Ceramic Capacitors MLCC - SMD/SMT ROHS</t>
  </si>
  <si>
    <t>100mW Thick Film Resistors ±1% ±100ppm/℃ 10kΩ 0603 Chip Resistor - Surface Mount ROHS</t>
  </si>
  <si>
    <t>0201 22 nF 6.3 V ±10% Tolerance X5R SMT Multilayer Ceramic Capacitor</t>
  </si>
  <si>
    <t>Ceramic Capacitor, Multilayer, Ceramic, 50V, 5% +Tol, 5% -Tol, C0G, 0+-30ppm/Celcius TC, 33pF, Surface Mount, 0402 inch</t>
  </si>
  <si>
    <t>Conn Shrouded Header (4 Sides) HDR 20 POS 2.54mm Solder ST Top Entry Thru-Hole</t>
  </si>
  <si>
    <t>Crystal 8MHz ±30ppm (Tol) ±100ppm (Stability) 20pF FUND 60Ohm 2-Pin SMD T/R</t>
  </si>
  <si>
    <t>Diode, Rectifier, Fast, Vr 100V, If 300MA, Pkg SOD-323, Vf 1V, Trr 4NS, Cj 4PF, Tj +150C</t>
  </si>
  <si>
    <t>Fuse Chip Fast Acting 0.5A 32V SMD Solder Pad 0402 1 X 0.5 X 0.39mm T/R UL/cUL</t>
  </si>
  <si>
    <t>Kailh Switch Sockets For Mx-Compatible Mechanical Keys - 20 Pack |Adafruit 4958</t>
  </si>
  <si>
    <t>MCU 32-bit STM32F1 ARM Cortex M3 RISC 64KB Flash 2.5V/3.3V 48-Pin LQFP Tray</t>
  </si>
  <si>
    <t>Multilayer Ceramic Capacitors (High dielectric type), 10V, 10 uF, ± 20 %, 0603, X5R, RoHS</t>
  </si>
  <si>
    <t>Res Thick Film 0402 5.1K Ohm 1% 0.1W(1/10W) ±100ppm/C Pad SMD Automotive T/R</t>
  </si>
  <si>
    <t>Res Thick Film 0603 1M Ohm 1% 1/10W ±100ppm/°C Molded SMD Punched Carrier T/R</t>
  </si>
  <si>
    <t>Res Thin Film 0402 1.5K Ohm 0.1% 0.063W ±25ppm/°C Molded SMD Punched Carrier T/R</t>
  </si>
  <si>
    <t>RT9193 Series 300 mA 3.3 V Ultra-Low Noise Ultra-Fast CMOS LDO Regulator-SC-70-5</t>
  </si>
  <si>
    <t>Switch, Key, Spst-no, Keyboard, Low Profile, 10MA, 12VDC, Soft Tactile, Fp Mnt, Std Force</t>
  </si>
  <si>
    <t>USB Connector, 16 Contact(s), Male, Right Angle, Surface Mount Terminal, Locking, Receptacle</t>
  </si>
  <si>
    <t>USBLC6 Series 2 Line 6 V Uni / Bi-Directional ESD Protection - SOT-23-6</t>
  </si>
  <si>
    <t>Zero Ohm Resistor, Jumper, 0402 [1005 Metric], Thick Film, 63 mW, 1 A, Surface Mount Device</t>
  </si>
  <si>
    <t>Quantity</t>
  </si>
  <si>
    <t>Supplier 1</t>
  </si>
  <si>
    <t>DigiKey</t>
  </si>
  <si>
    <t>Supplier Part Number 1</t>
  </si>
  <si>
    <t>1276-1946-1-ND</t>
  </si>
  <si>
    <t>311-1088-1-ND</t>
  </si>
  <si>
    <t>541-10.0KHCT-ND</t>
  </si>
  <si>
    <t>490-3169-1-ND</t>
  </si>
  <si>
    <t>1276-1272-1-ND</t>
  </si>
  <si>
    <t>S9172-ND</t>
  </si>
  <si>
    <t>XC1526CT-ND</t>
  </si>
  <si>
    <t>1N4148WXTPMSCT-ND</t>
  </si>
  <si>
    <t>P15122CT-ND</t>
  </si>
  <si>
    <t>1528-4958-ND</t>
  </si>
  <si>
    <t>497-6063-ND</t>
  </si>
  <si>
    <t>587-3258-1-ND</t>
  </si>
  <si>
    <t>2019-RK73H1ETTP5101FCT-ND</t>
  </si>
  <si>
    <t>P1.00MHCT-ND</t>
  </si>
  <si>
    <t>P1.5KDCCT-ND</t>
  </si>
  <si>
    <t>1028-1014-1-ND</t>
  </si>
  <si>
    <t>CH198-ND</t>
  </si>
  <si>
    <t>2073-USB4110-GF-A-1-ND</t>
  </si>
  <si>
    <t>497-5235-1-ND</t>
  </si>
  <si>
    <t>CR0402AJ/-000GASCT-ND</t>
  </si>
  <si>
    <t>Supplier Order Qty 1</t>
  </si>
  <si>
    <t>Supplier Stock 1</t>
  </si>
  <si>
    <t>Supplier Unit Price 1</t>
  </si>
  <si>
    <t>Supplier Subtotal 1</t>
  </si>
  <si>
    <t>Supplier Currency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</si>
</sst>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sz val="8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8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3366FF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7" fillId="3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6" fillId="2" borderId="7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6" fillId="6" borderId="10" xfId="0" applyFont="1" applyFill="1" applyBorder="1" applyAlignment="1">
      <alignment vertical="top" wrapText="1"/>
    </xf>
    <xf numFmtId="0" fontId="6" fillId="6" borderId="11" xfId="0" applyFont="1" applyFill="1" applyBorder="1" applyAlignment="1">
      <alignment vertical="top" wrapText="1"/>
    </xf>
    <xf numFmtId="0" fontId="1" fillId="0" borderId="12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2" fillId="0" borderId="0" xfId="0" applyFont="1" applyAlignment="1">
      <alignment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right" vertical="top" wrapText="1"/>
    </xf>
    <xf numFmtId="0" fontId="6" fillId="6" borderId="17" xfId="0" applyFont="1" applyFill="1" applyBorder="1" applyAlignment="1">
      <alignment vertical="top" wrapText="1"/>
    </xf>
    <xf numFmtId="0" fontId="9" fillId="5" borderId="18" xfId="0" applyFont="1" applyFill="1" applyBorder="1" applyAlignment="1">
      <alignment vertical="top" wrapText="1"/>
    </xf>
    <xf numFmtId="0" fontId="11" fillId="0" borderId="0" xfId="0" applyFont="1" applyAlignment="1">
      <alignment vertical="top"/>
    </xf>
    <xf numFmtId="0" fontId="0" fillId="0" borderId="4" xfId="0" applyBorder="1" applyAlignment="1">
      <alignment vertical="top"/>
    </xf>
    <xf numFmtId="0" fontId="9" fillId="5" borderId="19" xfId="0" applyFont="1" applyFill="1" applyBorder="1" applyAlignment="1">
      <alignment vertical="top" wrapText="1"/>
    </xf>
    <xf numFmtId="0" fontId="0" fillId="0" borderId="14" xfId="0" applyBorder="1" applyAlignment="1">
      <alignment vertical="top"/>
    </xf>
    <xf numFmtId="0" fontId="3" fillId="0" borderId="0" xfId="0" applyFont="1" applyAlignment="1" applyProtection="1">
      <alignment vertical="top"/>
      <protection locked="0"/>
    </xf>
    <xf numFmtId="0" fontId="10" fillId="0" borderId="0" xfId="0" applyFont="1" applyAlignment="1" applyProtection="1">
      <alignment horizontal="left" vertical="top"/>
      <protection locked="0"/>
    </xf>
    <xf numFmtId="0" fontId="0" fillId="0" borderId="4" xfId="0" applyBorder="1" applyAlignment="1">
      <alignment horizontal="left" vertical="top"/>
    </xf>
    <xf numFmtId="0" fontId="0" fillId="0" borderId="13" xfId="0" applyBorder="1" applyAlignment="1">
      <alignment vertical="top"/>
    </xf>
    <xf numFmtId="0" fontId="5" fillId="4" borderId="20" xfId="0" applyFont="1" applyFill="1" applyBorder="1"/>
    <xf numFmtId="0" fontId="5" fillId="4" borderId="20" xfId="0" applyFont="1" applyFill="1" applyBorder="1" applyAlignment="1">
      <alignment wrapText="1"/>
    </xf>
    <xf numFmtId="0" fontId="0" fillId="0" borderId="21" xfId="0" applyBorder="1" applyAlignment="1">
      <alignment horizontal="left" vertical="top"/>
    </xf>
    <xf numFmtId="0" fontId="6" fillId="2" borderId="22" xfId="0" applyFont="1" applyFill="1" applyBorder="1" applyAlignment="1">
      <alignment horizontal="left" vertical="top" wrapText="1"/>
    </xf>
    <xf numFmtId="0" fontId="6" fillId="6" borderId="23" xfId="0" applyFont="1" applyFill="1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6" fillId="2" borderId="9" xfId="0" applyFont="1" applyFill="1" applyBorder="1" applyAlignment="1">
      <alignment horizontal="center" vertical="top" wrapText="1"/>
    </xf>
    <xf numFmtId="0" fontId="6" fillId="6" borderId="1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left" vertical="top"/>
      <protection locked="0"/>
    </xf>
    <xf numFmtId="2" fontId="6" fillId="2" borderId="16" xfId="0" applyNumberFormat="1" applyFont="1" applyFill="1" applyBorder="1" applyAlignment="1">
      <alignment horizontal="right" vertical="top" wrapText="1"/>
    </xf>
    <xf numFmtId="2" fontId="6" fillId="6" borderId="17" xfId="0" applyNumberFormat="1" applyFont="1" applyFill="1" applyBorder="1" applyAlignment="1">
      <alignment vertical="top" wrapText="1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12" fillId="0" borderId="5" xfId="0" applyFont="1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14" fillId="0" borderId="0" xfId="0" applyFont="1" applyAlignment="1">
      <alignment horizontal="center" vertical="top"/>
    </xf>
    <xf numFmtId="0" fontId="13" fillId="0" borderId="0" xfId="0" quotePrefix="1" applyFont="1" applyAlignment="1" applyProtection="1">
      <alignment horizontal="right" vertical="top"/>
      <protection locked="0"/>
    </xf>
    <xf numFmtId="0" fontId="12" fillId="0" borderId="0" xfId="0" quotePrefix="1" applyFont="1" applyAlignment="1">
      <alignment vertical="top"/>
    </xf>
    <xf numFmtId="0" fontId="3" fillId="0" borderId="0" xfId="0" quotePrefix="1" applyFont="1" applyAlignment="1">
      <alignment horizontal="left" vertical="top"/>
    </xf>
    <xf numFmtId="0" fontId="8" fillId="6" borderId="6" xfId="0" quotePrefix="1" applyFont="1" applyFill="1" applyBorder="1" applyAlignment="1">
      <alignment horizontal="left" vertical="center"/>
    </xf>
    <xf numFmtId="0" fontId="8" fillId="3" borderId="0" xfId="0" quotePrefix="1" applyFont="1" applyFill="1" applyAlignment="1">
      <alignment horizontal="left" vertical="center"/>
    </xf>
    <xf numFmtId="0" fontId="8" fillId="6" borderId="0" xfId="0" quotePrefix="1" applyFont="1" applyFill="1" applyAlignment="1">
      <alignment horizontal="left" vertical="center"/>
    </xf>
    <xf numFmtId="0" fontId="3" fillId="0" borderId="5" xfId="0" applyFont="1" applyBorder="1" applyAlignment="1" applyProtection="1">
      <alignment vertical="top"/>
      <protection locked="0"/>
    </xf>
    <xf numFmtId="0" fontId="1" fillId="0" borderId="31" xfId="0" applyFont="1" applyBorder="1" applyAlignment="1" applyProtection="1">
      <alignment vertical="top"/>
      <protection locked="0"/>
    </xf>
    <xf numFmtId="0" fontId="0" fillId="0" borderId="5" xfId="0" applyBorder="1" applyAlignment="1">
      <alignment horizontal="left" vertical="top"/>
    </xf>
    <xf numFmtId="0" fontId="0" fillId="0" borderId="27" xfId="0" applyBorder="1" applyAlignment="1">
      <alignment vertical="top"/>
    </xf>
    <xf numFmtId="0" fontId="0" fillId="7" borderId="5" xfId="0" applyFill="1" applyBorder="1" applyAlignment="1">
      <alignment vertical="top"/>
    </xf>
    <xf numFmtId="0" fontId="14" fillId="0" borderId="0" xfId="0" applyFont="1" applyAlignment="1">
      <alignment horizontal="left" vertical="top"/>
    </xf>
    <xf numFmtId="0" fontId="11" fillId="0" borderId="25" xfId="0" applyFont="1" applyBorder="1" applyAlignment="1">
      <alignment vertical="top"/>
    </xf>
    <xf numFmtId="0" fontId="0" fillId="0" borderId="26" xfId="0" applyBorder="1" applyAlignment="1">
      <alignment vertical="top"/>
    </xf>
    <xf numFmtId="2" fontId="0" fillId="0" borderId="6" xfId="0" applyNumberFormat="1" applyBorder="1" applyAlignment="1">
      <alignment horizontal="right" vertical="top"/>
    </xf>
    <xf numFmtId="0" fontId="11" fillId="0" borderId="28" xfId="0" applyFont="1" applyBorder="1" applyAlignment="1">
      <alignment vertical="top"/>
    </xf>
    <xf numFmtId="0" fontId="0" fillId="0" borderId="29" xfId="0" applyBorder="1" applyAlignment="1">
      <alignment vertical="top"/>
    </xf>
    <xf numFmtId="0" fontId="4" fillId="4" borderId="32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40"/>
  <sheetViews>
    <sheetView showGridLines="0" tabSelected="1" zoomScale="85" zoomScaleNormal="85" workbookViewId="0">
      <selection activeCell="L4" sqref="L4"/>
    </sheetView>
  </sheetViews>
  <sheetFormatPr defaultColWidth="9.109375" defaultRowHeight="13.2" x14ac:dyDescent="0.25"/>
  <cols>
    <col min="1" max="1" width="3.109375" style="1" customWidth="1"/>
    <col min="2" max="2" width="5.44140625" style="1" customWidth="1"/>
    <col min="3" max="3" width="25.6640625" style="3" customWidth="1"/>
    <col min="4" max="4" width="28.6640625" style="3" customWidth="1"/>
    <col min="5" max="5" width="21.44140625" style="3" customWidth="1"/>
    <col min="6" max="6" width="20.109375" style="1" customWidth="1"/>
    <col min="7" max="7" width="31" style="1" customWidth="1"/>
    <col min="8" max="8" width="8.5546875" style="1" customWidth="1"/>
    <col min="9" max="9" width="15.88671875" style="39" customWidth="1"/>
    <col min="10" max="10" width="18.109375" style="1" customWidth="1"/>
    <col min="11" max="11" width="7.5546875" style="1" customWidth="1"/>
    <col min="12" max="12" width="8.109375" style="1" customWidth="1"/>
    <col min="13" max="13" width="8.5546875" style="1" customWidth="1"/>
    <col min="14" max="14" width="8" style="1" customWidth="1"/>
    <col min="15" max="15" width="8.33203125" style="3" customWidth="1"/>
    <col min="16" max="16384" width="9.109375" style="1"/>
  </cols>
  <sheetData>
    <row r="1" spans="1:17" ht="30.6" x14ac:dyDescent="0.25">
      <c r="A1" s="32"/>
      <c r="B1" s="68" t="s">
        <v>16</v>
      </c>
      <c r="C1" s="69" t="s">
        <v>38</v>
      </c>
      <c r="D1" s="69" t="s">
        <v>51</v>
      </c>
      <c r="E1" s="69" t="s">
        <v>68</v>
      </c>
      <c r="F1" s="69" t="s">
        <v>88</v>
      </c>
      <c r="G1" s="69" t="s">
        <v>92</v>
      </c>
      <c r="H1" s="69" t="s">
        <v>113</v>
      </c>
      <c r="I1" s="69" t="s">
        <v>114</v>
      </c>
      <c r="J1" s="69" t="s">
        <v>116</v>
      </c>
      <c r="K1" s="19" t="s">
        <v>137</v>
      </c>
      <c r="L1" s="70" t="s">
        <v>138</v>
      </c>
      <c r="M1" s="19" t="s">
        <v>139</v>
      </c>
      <c r="N1" s="19" t="s">
        <v>140</v>
      </c>
      <c r="O1" s="19" t="s">
        <v>141</v>
      </c>
      <c r="P1" s="18"/>
    </row>
    <row r="2" spans="1:17" ht="37.5" customHeight="1" x14ac:dyDescent="0.25">
      <c r="A2" s="31"/>
      <c r="B2" s="12">
        <f>ROW(B2) - ROW($B$1)</f>
        <v>1</v>
      </c>
      <c r="C2" s="11" t="s">
        <v>39</v>
      </c>
      <c r="D2" s="11" t="s">
        <v>52</v>
      </c>
      <c r="E2" s="13" t="s">
        <v>69</v>
      </c>
      <c r="F2" s="13">
        <v>603</v>
      </c>
      <c r="G2" s="13" t="s">
        <v>93</v>
      </c>
      <c r="H2" s="13">
        <v>2</v>
      </c>
      <c r="I2" s="37" t="s">
        <v>115</v>
      </c>
      <c r="J2" s="13" t="s">
        <v>117</v>
      </c>
      <c r="K2" s="20">
        <v>10</v>
      </c>
      <c r="L2" s="20">
        <v>3746544</v>
      </c>
      <c r="M2" s="43">
        <v>5.0000000000000001E-3</v>
      </c>
      <c r="N2" s="43">
        <v>0.05</v>
      </c>
      <c r="O2" s="34" t="s">
        <v>30</v>
      </c>
      <c r="P2" s="2"/>
    </row>
    <row r="3" spans="1:17" ht="23.25" customHeight="1" x14ac:dyDescent="0.25">
      <c r="A3" s="31"/>
      <c r="B3" s="14">
        <f>ROW(B3) - ROW($B$1)</f>
        <v>2</v>
      </c>
      <c r="C3" s="15" t="s">
        <v>39</v>
      </c>
      <c r="D3" s="15" t="s">
        <v>53</v>
      </c>
      <c r="E3" s="15" t="s">
        <v>70</v>
      </c>
      <c r="F3" s="15">
        <v>603</v>
      </c>
      <c r="G3" s="15" t="s">
        <v>94</v>
      </c>
      <c r="H3" s="15">
        <v>7</v>
      </c>
      <c r="I3" s="38" t="s">
        <v>115</v>
      </c>
      <c r="J3" s="15" t="s">
        <v>118</v>
      </c>
      <c r="K3" s="21">
        <v>10</v>
      </c>
      <c r="L3" s="21">
        <v>5839005</v>
      </c>
      <c r="M3" s="44">
        <v>6.0000000000000001E-3</v>
      </c>
      <c r="N3" s="44">
        <v>0.06</v>
      </c>
      <c r="O3" s="35" t="s">
        <v>30</v>
      </c>
      <c r="P3" s="2"/>
      <c r="Q3" s="18"/>
    </row>
    <row r="4" spans="1:17" ht="23.25" customHeight="1" x14ac:dyDescent="0.25">
      <c r="A4" s="31"/>
      <c r="B4" s="12">
        <f>ROW(B4) - ROW($B$1)</f>
        <v>3</v>
      </c>
      <c r="C4" s="11" t="s">
        <v>40</v>
      </c>
      <c r="D4" s="11" t="s">
        <v>54</v>
      </c>
      <c r="E4" s="13" t="s">
        <v>71</v>
      </c>
      <c r="F4" s="13">
        <v>603</v>
      </c>
      <c r="G4" s="13" t="s">
        <v>95</v>
      </c>
      <c r="H4" s="13">
        <v>8</v>
      </c>
      <c r="I4" s="37" t="s">
        <v>115</v>
      </c>
      <c r="J4" s="13" t="s">
        <v>119</v>
      </c>
      <c r="K4" s="20">
        <v>10</v>
      </c>
      <c r="L4" s="20">
        <v>3294276</v>
      </c>
      <c r="M4" s="43">
        <v>0.03</v>
      </c>
      <c r="N4" s="43">
        <v>0.3</v>
      </c>
      <c r="O4" s="34" t="s">
        <v>30</v>
      </c>
      <c r="P4" s="2"/>
    </row>
    <row r="5" spans="1:17" ht="23.25" customHeight="1" x14ac:dyDescent="0.25">
      <c r="A5" s="31"/>
      <c r="B5" s="14">
        <f>ROW(B5) - ROW($B$1)</f>
        <v>4</v>
      </c>
      <c r="C5" s="15" t="s">
        <v>39</v>
      </c>
      <c r="D5" s="15" t="s">
        <v>55</v>
      </c>
      <c r="E5" s="15" t="s">
        <v>72</v>
      </c>
      <c r="F5" s="15">
        <v>201</v>
      </c>
      <c r="G5" s="15" t="s">
        <v>96</v>
      </c>
      <c r="H5" s="15">
        <v>1</v>
      </c>
      <c r="I5" s="38" t="s">
        <v>115</v>
      </c>
      <c r="J5" s="15" t="s">
        <v>120</v>
      </c>
      <c r="K5" s="21">
        <v>1</v>
      </c>
      <c r="L5" s="21">
        <v>1612421</v>
      </c>
      <c r="M5" s="44">
        <v>0.1</v>
      </c>
      <c r="N5" s="44">
        <v>0.1</v>
      </c>
      <c r="O5" s="35" t="s">
        <v>30</v>
      </c>
      <c r="P5" s="2"/>
      <c r="Q5" s="18"/>
    </row>
    <row r="6" spans="1:17" ht="23.25" customHeight="1" x14ac:dyDescent="0.25">
      <c r="A6" s="31"/>
      <c r="B6" s="12">
        <f>ROW(B6) - ROW($B$1)</f>
        <v>5</v>
      </c>
      <c r="C6" s="11" t="s">
        <v>39</v>
      </c>
      <c r="D6" s="11" t="s">
        <v>52</v>
      </c>
      <c r="E6" s="13" t="s">
        <v>73</v>
      </c>
      <c r="F6" s="13">
        <v>402</v>
      </c>
      <c r="G6" s="13" t="s">
        <v>97</v>
      </c>
      <c r="H6" s="13">
        <v>2</v>
      </c>
      <c r="I6" s="37" t="s">
        <v>115</v>
      </c>
      <c r="J6" s="13" t="s">
        <v>121</v>
      </c>
      <c r="K6" s="20">
        <v>10</v>
      </c>
      <c r="L6" s="20">
        <v>3172986</v>
      </c>
      <c r="M6" s="43">
        <v>3.0000000000000001E-3</v>
      </c>
      <c r="N6" s="43">
        <v>0.03</v>
      </c>
      <c r="O6" s="34" t="s">
        <v>30</v>
      </c>
      <c r="P6" s="2"/>
    </row>
    <row r="7" spans="1:17" ht="23.25" customHeight="1" x14ac:dyDescent="0.25">
      <c r="A7" s="31"/>
      <c r="B7" s="14">
        <f>ROW(B7) - ROW($B$1)</f>
        <v>6</v>
      </c>
      <c r="C7" s="15" t="s">
        <v>41</v>
      </c>
      <c r="D7" s="15" t="s">
        <v>56</v>
      </c>
      <c r="E7" s="15" t="s">
        <v>74</v>
      </c>
      <c r="F7" s="15"/>
      <c r="G7" s="15" t="s">
        <v>98</v>
      </c>
      <c r="H7" s="15">
        <v>1</v>
      </c>
      <c r="I7" s="38" t="s">
        <v>115</v>
      </c>
      <c r="J7" s="15" t="s">
        <v>122</v>
      </c>
      <c r="K7" s="21">
        <v>1</v>
      </c>
      <c r="L7" s="21">
        <v>30037</v>
      </c>
      <c r="M7" s="44">
        <v>0.41</v>
      </c>
      <c r="N7" s="44">
        <v>0.41</v>
      </c>
      <c r="O7" s="35" t="s">
        <v>30</v>
      </c>
      <c r="P7" s="2"/>
      <c r="Q7" s="18"/>
    </row>
    <row r="8" spans="1:17" ht="23.25" customHeight="1" x14ac:dyDescent="0.25">
      <c r="A8" s="31"/>
      <c r="B8" s="12">
        <f>ROW(B8) - ROW($B$1)</f>
        <v>7</v>
      </c>
      <c r="C8" s="11" t="s">
        <v>42</v>
      </c>
      <c r="D8" s="11" t="s">
        <v>57</v>
      </c>
      <c r="E8" s="13" t="s">
        <v>75</v>
      </c>
      <c r="F8" s="13"/>
      <c r="G8" s="13" t="s">
        <v>99</v>
      </c>
      <c r="H8" s="13">
        <v>1</v>
      </c>
      <c r="I8" s="37" t="s">
        <v>115</v>
      </c>
      <c r="J8" s="13" t="s">
        <v>123</v>
      </c>
      <c r="K8" s="20">
        <v>1</v>
      </c>
      <c r="L8" s="20">
        <v>4142</v>
      </c>
      <c r="M8" s="43">
        <v>0.44</v>
      </c>
      <c r="N8" s="43">
        <v>0.44</v>
      </c>
      <c r="O8" s="34" t="s">
        <v>30</v>
      </c>
      <c r="P8" s="2"/>
    </row>
    <row r="9" spans="1:17" ht="23.25" customHeight="1" x14ac:dyDescent="0.25">
      <c r="A9" s="31"/>
      <c r="B9" s="14">
        <f>ROW(B9) - ROW($B$1)</f>
        <v>8</v>
      </c>
      <c r="C9" s="15" t="s">
        <v>43</v>
      </c>
      <c r="D9" s="15" t="s">
        <v>58</v>
      </c>
      <c r="E9" s="15" t="s">
        <v>76</v>
      </c>
      <c r="F9" s="15"/>
      <c r="G9" s="15" t="s">
        <v>100</v>
      </c>
      <c r="H9" s="15">
        <v>15</v>
      </c>
      <c r="I9" s="38" t="s">
        <v>115</v>
      </c>
      <c r="J9" s="15" t="s">
        <v>124</v>
      </c>
      <c r="K9" s="21">
        <v>15</v>
      </c>
      <c r="L9" s="21">
        <v>1059989</v>
      </c>
      <c r="M9" s="44">
        <v>6.0999999999999999E-2</v>
      </c>
      <c r="N9" s="44">
        <v>0.91500000000000004</v>
      </c>
      <c r="O9" s="35" t="s">
        <v>30</v>
      </c>
      <c r="P9" s="2"/>
      <c r="Q9" s="18"/>
    </row>
    <row r="10" spans="1:17" ht="23.25" customHeight="1" x14ac:dyDescent="0.25">
      <c r="A10" s="31"/>
      <c r="B10" s="12">
        <f>ROW(B10) - ROW($B$1)</f>
        <v>9</v>
      </c>
      <c r="C10" s="11" t="s">
        <v>44</v>
      </c>
      <c r="D10" s="11" t="s">
        <v>59</v>
      </c>
      <c r="E10" s="13" t="s">
        <v>77</v>
      </c>
      <c r="F10" s="13">
        <v>402</v>
      </c>
      <c r="G10" s="13" t="s">
        <v>101</v>
      </c>
      <c r="H10" s="13">
        <v>1</v>
      </c>
      <c r="I10" s="37" t="s">
        <v>115</v>
      </c>
      <c r="J10" s="13" t="s">
        <v>125</v>
      </c>
      <c r="K10" s="20">
        <v>1</v>
      </c>
      <c r="L10" s="20">
        <v>236143</v>
      </c>
      <c r="M10" s="43">
        <v>0.28999999999999998</v>
      </c>
      <c r="N10" s="43">
        <v>0.28999999999999998</v>
      </c>
      <c r="O10" s="34" t="s">
        <v>30</v>
      </c>
      <c r="P10" s="2"/>
    </row>
    <row r="11" spans="1:17" ht="23.25" customHeight="1" x14ac:dyDescent="0.25">
      <c r="A11" s="31"/>
      <c r="B11" s="14">
        <f>ROW(B11) - ROW($B$1)</f>
        <v>10</v>
      </c>
      <c r="C11" s="15" t="s">
        <v>45</v>
      </c>
      <c r="D11" s="15" t="s">
        <v>60</v>
      </c>
      <c r="E11" s="15">
        <v>4958</v>
      </c>
      <c r="F11" s="15"/>
      <c r="G11" s="15" t="s">
        <v>102</v>
      </c>
      <c r="H11" s="15">
        <v>15</v>
      </c>
      <c r="I11" s="38" t="s">
        <v>115</v>
      </c>
      <c r="J11" s="15" t="s">
        <v>126</v>
      </c>
      <c r="K11" s="21">
        <v>15</v>
      </c>
      <c r="L11" s="21">
        <v>75</v>
      </c>
      <c r="M11" s="44">
        <v>4.95</v>
      </c>
      <c r="N11" s="44">
        <v>74.25</v>
      </c>
      <c r="O11" s="35" t="s">
        <v>30</v>
      </c>
      <c r="P11" s="2"/>
      <c r="Q11" s="18"/>
    </row>
    <row r="12" spans="1:17" ht="23.25" customHeight="1" x14ac:dyDescent="0.25">
      <c r="A12" s="31"/>
      <c r="B12" s="12">
        <f>ROW(B12) - ROW($B$1)</f>
        <v>11</v>
      </c>
      <c r="C12" s="11" t="s">
        <v>46</v>
      </c>
      <c r="D12" s="11" t="s">
        <v>61</v>
      </c>
      <c r="E12" s="13" t="s">
        <v>78</v>
      </c>
      <c r="F12" s="13" t="s">
        <v>89</v>
      </c>
      <c r="G12" s="13" t="s">
        <v>103</v>
      </c>
      <c r="H12" s="13">
        <v>1</v>
      </c>
      <c r="I12" s="37" t="s">
        <v>115</v>
      </c>
      <c r="J12" s="13" t="s">
        <v>127</v>
      </c>
      <c r="K12" s="20">
        <v>1</v>
      </c>
      <c r="L12" s="20">
        <v>3958</v>
      </c>
      <c r="M12" s="43">
        <v>6.08</v>
      </c>
      <c r="N12" s="43">
        <v>6.08</v>
      </c>
      <c r="O12" s="34" t="s">
        <v>30</v>
      </c>
      <c r="P12" s="2"/>
    </row>
    <row r="13" spans="1:17" ht="23.25" customHeight="1" x14ac:dyDescent="0.25">
      <c r="A13" s="31"/>
      <c r="B13" s="14">
        <f>ROW(B13) - ROW($B$1)</f>
        <v>12</v>
      </c>
      <c r="C13" s="15" t="s">
        <v>39</v>
      </c>
      <c r="D13" s="15" t="s">
        <v>62</v>
      </c>
      <c r="E13" s="15" t="s">
        <v>79</v>
      </c>
      <c r="F13" s="15">
        <v>603</v>
      </c>
      <c r="G13" s="15" t="s">
        <v>104</v>
      </c>
      <c r="H13" s="15">
        <v>1</v>
      </c>
      <c r="I13" s="38" t="s">
        <v>115</v>
      </c>
      <c r="J13" s="15" t="s">
        <v>128</v>
      </c>
      <c r="K13" s="21">
        <v>1</v>
      </c>
      <c r="L13" s="21">
        <v>926448</v>
      </c>
      <c r="M13" s="44">
        <v>0.08</v>
      </c>
      <c r="N13" s="44">
        <v>0.08</v>
      </c>
      <c r="O13" s="35" t="s">
        <v>30</v>
      </c>
      <c r="P13" s="2"/>
      <c r="Q13" s="18"/>
    </row>
    <row r="14" spans="1:17" ht="23.25" customHeight="1" x14ac:dyDescent="0.25">
      <c r="A14" s="31"/>
      <c r="B14" s="12">
        <f>ROW(B14) - ROW($B$1)</f>
        <v>13</v>
      </c>
      <c r="C14" s="11" t="s">
        <v>40</v>
      </c>
      <c r="D14" s="11" t="s">
        <v>63</v>
      </c>
      <c r="E14" s="13" t="s">
        <v>80</v>
      </c>
      <c r="F14" s="13">
        <v>402</v>
      </c>
      <c r="G14" s="13" t="s">
        <v>105</v>
      </c>
      <c r="H14" s="13">
        <v>2</v>
      </c>
      <c r="I14" s="37" t="s">
        <v>115</v>
      </c>
      <c r="J14" s="13" t="s">
        <v>129</v>
      </c>
      <c r="K14" s="20">
        <v>2</v>
      </c>
      <c r="L14" s="20">
        <v>142982</v>
      </c>
      <c r="M14" s="43">
        <v>0.1</v>
      </c>
      <c r="N14" s="43">
        <v>0.2</v>
      </c>
      <c r="O14" s="34" t="s">
        <v>30</v>
      </c>
      <c r="P14" s="2"/>
    </row>
    <row r="15" spans="1:17" ht="23.25" customHeight="1" x14ac:dyDescent="0.25">
      <c r="A15" s="31"/>
      <c r="B15" s="14">
        <f>ROW(B15) - ROW($B$1)</f>
        <v>14</v>
      </c>
      <c r="C15" s="15" t="s">
        <v>40</v>
      </c>
      <c r="D15" s="15" t="s">
        <v>59</v>
      </c>
      <c r="E15" s="15" t="s">
        <v>81</v>
      </c>
      <c r="F15" s="15">
        <v>603</v>
      </c>
      <c r="G15" s="15" t="s">
        <v>106</v>
      </c>
      <c r="H15" s="15">
        <v>1</v>
      </c>
      <c r="I15" s="38" t="s">
        <v>115</v>
      </c>
      <c r="J15" s="15" t="s">
        <v>130</v>
      </c>
      <c r="K15" s="21">
        <v>1</v>
      </c>
      <c r="L15" s="21">
        <v>157239</v>
      </c>
      <c r="M15" s="44">
        <v>0.1</v>
      </c>
      <c r="N15" s="44">
        <v>0.1</v>
      </c>
      <c r="O15" s="35" t="s">
        <v>30</v>
      </c>
      <c r="P15" s="2"/>
      <c r="Q15" s="18"/>
    </row>
    <row r="16" spans="1:17" ht="23.25" customHeight="1" x14ac:dyDescent="0.25">
      <c r="A16" s="31"/>
      <c r="B16" s="12">
        <f>ROW(B16) - ROW($B$1)</f>
        <v>15</v>
      </c>
      <c r="C16" s="11" t="s">
        <v>40</v>
      </c>
      <c r="D16" s="11" t="s">
        <v>59</v>
      </c>
      <c r="E16" s="13" t="s">
        <v>82</v>
      </c>
      <c r="F16" s="13">
        <v>402</v>
      </c>
      <c r="G16" s="13" t="s">
        <v>107</v>
      </c>
      <c r="H16" s="13">
        <v>1</v>
      </c>
      <c r="I16" s="37" t="s">
        <v>115</v>
      </c>
      <c r="J16" s="13" t="s">
        <v>131</v>
      </c>
      <c r="K16" s="20">
        <v>1</v>
      </c>
      <c r="L16" s="20">
        <v>105630</v>
      </c>
      <c r="M16" s="43">
        <v>0.1</v>
      </c>
      <c r="N16" s="43">
        <v>0.1</v>
      </c>
      <c r="O16" s="34" t="s">
        <v>30</v>
      </c>
      <c r="P16" s="2"/>
    </row>
    <row r="17" spans="1:17" ht="23.25" customHeight="1" x14ac:dyDescent="0.25">
      <c r="A17" s="31"/>
      <c r="B17" s="14">
        <f>ROW(B17) - ROW($B$1)</f>
        <v>16</v>
      </c>
      <c r="C17" s="15" t="s">
        <v>47</v>
      </c>
      <c r="D17" s="15" t="s">
        <v>64</v>
      </c>
      <c r="E17" s="15" t="s">
        <v>83</v>
      </c>
      <c r="F17" s="15" t="s">
        <v>90</v>
      </c>
      <c r="G17" s="15" t="s">
        <v>108</v>
      </c>
      <c r="H17" s="15">
        <v>1</v>
      </c>
      <c r="I17" s="38" t="s">
        <v>115</v>
      </c>
      <c r="J17" s="15" t="s">
        <v>132</v>
      </c>
      <c r="K17" s="21">
        <v>1</v>
      </c>
      <c r="L17" s="21">
        <v>17489</v>
      </c>
      <c r="M17" s="44">
        <v>0.41</v>
      </c>
      <c r="N17" s="44">
        <v>0.41</v>
      </c>
      <c r="O17" s="35" t="s">
        <v>30</v>
      </c>
      <c r="P17" s="2"/>
      <c r="Q17" s="18"/>
    </row>
    <row r="18" spans="1:17" ht="23.25" customHeight="1" x14ac:dyDescent="0.25">
      <c r="A18" s="31"/>
      <c r="B18" s="12">
        <f>ROW(B18) - ROW($B$1)</f>
        <v>17</v>
      </c>
      <c r="C18" s="11" t="s">
        <v>48</v>
      </c>
      <c r="D18" s="11" t="s">
        <v>65</v>
      </c>
      <c r="E18" s="13" t="s">
        <v>84</v>
      </c>
      <c r="F18" s="13"/>
      <c r="G18" s="13" t="s">
        <v>109</v>
      </c>
      <c r="H18" s="13">
        <v>15</v>
      </c>
      <c r="I18" s="37" t="s">
        <v>115</v>
      </c>
      <c r="J18" s="13" t="s">
        <v>133</v>
      </c>
      <c r="K18" s="20">
        <v>15</v>
      </c>
      <c r="L18" s="20">
        <v>652</v>
      </c>
      <c r="M18" s="43">
        <v>1.25</v>
      </c>
      <c r="N18" s="43">
        <v>18.75</v>
      </c>
      <c r="O18" s="34" t="s">
        <v>30</v>
      </c>
      <c r="P18" s="2"/>
    </row>
    <row r="19" spans="1:17" ht="23.25" customHeight="1" x14ac:dyDescent="0.25">
      <c r="A19" s="31"/>
      <c r="B19" s="14">
        <f>ROW(B19) - ROW($B$1)</f>
        <v>18</v>
      </c>
      <c r="C19" s="15" t="s">
        <v>49</v>
      </c>
      <c r="D19" s="15" t="s">
        <v>66</v>
      </c>
      <c r="E19" s="15" t="s">
        <v>85</v>
      </c>
      <c r="F19" s="15"/>
      <c r="G19" s="15" t="s">
        <v>110</v>
      </c>
      <c r="H19" s="15">
        <v>1</v>
      </c>
      <c r="I19" s="38" t="s">
        <v>115</v>
      </c>
      <c r="J19" s="15" t="s">
        <v>134</v>
      </c>
      <c r="K19" s="21">
        <v>1</v>
      </c>
      <c r="L19" s="21">
        <v>27309</v>
      </c>
      <c r="M19" s="44">
        <v>1.24</v>
      </c>
      <c r="N19" s="44">
        <v>1.24</v>
      </c>
      <c r="O19" s="35" t="s">
        <v>30</v>
      </c>
      <c r="P19" s="2"/>
      <c r="Q19" s="18"/>
    </row>
    <row r="20" spans="1:17" ht="23.25" customHeight="1" x14ac:dyDescent="0.25">
      <c r="A20" s="31"/>
      <c r="B20" s="12">
        <f>ROW(B20) - ROW($B$1)</f>
        <v>19</v>
      </c>
      <c r="C20" s="11" t="s">
        <v>50</v>
      </c>
      <c r="D20" s="11" t="s">
        <v>61</v>
      </c>
      <c r="E20" s="13" t="s">
        <v>86</v>
      </c>
      <c r="F20" s="13" t="s">
        <v>91</v>
      </c>
      <c r="G20" s="13" t="s">
        <v>111</v>
      </c>
      <c r="H20" s="13">
        <v>1</v>
      </c>
      <c r="I20" s="37" t="s">
        <v>115</v>
      </c>
      <c r="J20" s="13" t="s">
        <v>135</v>
      </c>
      <c r="K20" s="20">
        <v>1</v>
      </c>
      <c r="L20" s="20">
        <v>63702</v>
      </c>
      <c r="M20" s="43">
        <v>0.36</v>
      </c>
      <c r="N20" s="43">
        <v>0.36</v>
      </c>
      <c r="O20" s="34" t="s">
        <v>30</v>
      </c>
      <c r="P20" s="2"/>
    </row>
    <row r="21" spans="1:17" ht="17.25" customHeight="1" x14ac:dyDescent="0.25">
      <c r="A21" s="31"/>
      <c r="B21" s="14">
        <f>ROW(B21) - ROW($B$1)</f>
        <v>20</v>
      </c>
      <c r="C21" s="15" t="s">
        <v>40</v>
      </c>
      <c r="D21" s="15" t="s">
        <v>67</v>
      </c>
      <c r="E21" s="15" t="s">
        <v>87</v>
      </c>
      <c r="F21" s="15"/>
      <c r="G21" s="15" t="s">
        <v>112</v>
      </c>
      <c r="H21" s="15">
        <v>2</v>
      </c>
      <c r="I21" s="38" t="s">
        <v>115</v>
      </c>
      <c r="J21" s="15" t="s">
        <v>136</v>
      </c>
      <c r="K21" s="21">
        <v>2</v>
      </c>
      <c r="L21" s="21">
        <v>158716</v>
      </c>
      <c r="M21" s="44">
        <v>0.1</v>
      </c>
      <c r="N21" s="44">
        <v>0.2</v>
      </c>
      <c r="O21" s="35" t="s">
        <v>30</v>
      </c>
      <c r="P21" s="2"/>
      <c r="Q21" s="18"/>
    </row>
    <row r="22" spans="1:17" ht="17.25" customHeight="1" x14ac:dyDescent="0.25">
      <c r="A22" s="31"/>
      <c r="B22" s="30"/>
      <c r="C22" s="29"/>
      <c r="D22" s="17"/>
      <c r="E22" s="16"/>
      <c r="F22" s="26"/>
      <c r="H22" s="25">
        <f>SUM(H2:H21)</f>
        <v>79</v>
      </c>
      <c r="J22" s="22"/>
      <c r="K22" s="25">
        <f>SUM(K2:K21)</f>
        <v>100</v>
      </c>
      <c r="L22" s="24"/>
      <c r="M22" s="24"/>
      <c r="N22" s="24">
        <f>SUM(N2:N21)</f>
        <v>104.36499999999998</v>
      </c>
      <c r="O22" s="36"/>
      <c r="Q22" s="2"/>
    </row>
    <row r="23" spans="1:17" ht="13.8" thickBot="1" x14ac:dyDescent="0.3">
      <c r="A23" s="31"/>
      <c r="B23" s="28" t="s">
        <v>14</v>
      </c>
      <c r="C23" s="28"/>
      <c r="D23" s="5"/>
      <c r="E23" s="7"/>
      <c r="F23" s="28" t="s">
        <v>15</v>
      </c>
      <c r="G23" s="4"/>
      <c r="H23" s="4"/>
      <c r="I23" s="40"/>
      <c r="O23" s="33"/>
      <c r="Q23" s="2"/>
    </row>
    <row r="24" spans="1:17" ht="15.75" customHeight="1" thickBot="1" x14ac:dyDescent="0.3">
      <c r="A24" s="31"/>
      <c r="B24" s="6"/>
      <c r="C24" s="6"/>
      <c r="D24" s="6"/>
      <c r="E24" s="8"/>
      <c r="F24" s="5"/>
      <c r="G24" s="5"/>
      <c r="H24" s="51" t="s">
        <v>29</v>
      </c>
      <c r="I24" s="42" t="s">
        <v>19</v>
      </c>
      <c r="J24" s="23" t="s">
        <v>17</v>
      </c>
      <c r="L24" s="63">
        <f>N22</f>
        <v>104.36499999999998</v>
      </c>
      <c r="M24" s="64"/>
      <c r="N24" s="52" t="s">
        <v>30</v>
      </c>
      <c r="O24" s="33"/>
    </row>
    <row r="25" spans="1:17" ht="15.75" customHeight="1" x14ac:dyDescent="0.25">
      <c r="A25" s="31"/>
      <c r="B25" s="6"/>
      <c r="C25" s="6"/>
      <c r="D25" s="6"/>
      <c r="E25" s="8"/>
      <c r="F25" s="5"/>
      <c r="G25" s="5"/>
      <c r="H25" s="5"/>
      <c r="I25" s="41"/>
      <c r="J25" s="27" t="s">
        <v>18</v>
      </c>
      <c r="K25" s="6"/>
      <c r="L25" s="65">
        <f>L24/H24</f>
        <v>104.36499999999998</v>
      </c>
      <c r="M25" s="65"/>
      <c r="N25" s="53" t="s">
        <v>30</v>
      </c>
      <c r="O25" s="33"/>
    </row>
    <row r="26" spans="1:17" s="18" customFormat="1" ht="40.5" customHeight="1" thickBot="1" x14ac:dyDescent="0.3">
      <c r="A26" s="31"/>
      <c r="B26" s="58"/>
      <c r="C26" s="6"/>
      <c r="D26" s="6"/>
      <c r="E26" s="8"/>
      <c r="F26" s="5"/>
      <c r="G26" s="5"/>
      <c r="H26" s="5"/>
      <c r="I26" s="41"/>
      <c r="J26" s="5"/>
      <c r="K26" s="6"/>
      <c r="L26" s="1"/>
      <c r="M26" s="1"/>
      <c r="N26" s="1"/>
      <c r="O26" s="48"/>
      <c r="P26" s="1"/>
      <c r="Q26" s="1"/>
    </row>
    <row r="27" spans="1:17" s="2" customFormat="1" ht="13.5" customHeight="1" x14ac:dyDescent="0.25">
      <c r="A27" s="61"/>
      <c r="B27" s="60"/>
      <c r="C27" s="59"/>
      <c r="D27" s="59"/>
      <c r="E27" s="59"/>
      <c r="F27" s="60"/>
      <c r="G27" s="46"/>
      <c r="H27" s="57" t="s">
        <v>21</v>
      </c>
      <c r="I27" s="45">
        <v>5.43</v>
      </c>
      <c r="J27" s="46" t="s">
        <v>20</v>
      </c>
      <c r="K27" s="46"/>
      <c r="L27" s="66">
        <f>L24*I27</f>
        <v>566.7019499999999</v>
      </c>
      <c r="M27" s="67"/>
      <c r="N27" s="47" t="s">
        <v>22</v>
      </c>
      <c r="O27" s="49"/>
      <c r="P27" s="1"/>
      <c r="Q27" s="1"/>
    </row>
    <row r="28" spans="1:17" s="2" customFormat="1" ht="13.5" customHeight="1" x14ac:dyDescent="0.25">
      <c r="A28" s="1"/>
      <c r="B28" s="1"/>
      <c r="C28" s="1"/>
      <c r="D28" s="1"/>
      <c r="E28" s="1"/>
      <c r="F28" s="1"/>
      <c r="G28" s="1"/>
      <c r="H28" s="1"/>
      <c r="I28" s="39"/>
      <c r="J28" s="1"/>
      <c r="K28" s="1"/>
      <c r="L28" s="1"/>
      <c r="M28" s="1"/>
      <c r="N28" s="1"/>
      <c r="O28" s="3"/>
      <c r="P28" s="1"/>
      <c r="Q28" s="1"/>
    </row>
    <row r="29" spans="1:17" s="2" customFormat="1" ht="13.5" customHeight="1" x14ac:dyDescent="0.25">
      <c r="A29" s="1"/>
      <c r="B29" s="1"/>
      <c r="C29" s="1"/>
      <c r="D29" s="1"/>
      <c r="E29" s="1"/>
      <c r="F29" s="1"/>
      <c r="G29" s="1"/>
      <c r="H29" s="1"/>
      <c r="I29" s="39"/>
      <c r="J29" s="1"/>
      <c r="K29" s="1"/>
      <c r="L29" s="1"/>
      <c r="M29" s="1"/>
      <c r="N29" s="1"/>
      <c r="O29" s="3"/>
      <c r="P29" s="1"/>
      <c r="Q29" s="1"/>
    </row>
    <row r="30" spans="1:17" x14ac:dyDescent="0.25">
      <c r="C30" s="1"/>
      <c r="D30" s="1"/>
      <c r="E30" s="1"/>
    </row>
    <row r="39" spans="4:9" x14ac:dyDescent="0.25">
      <c r="D39" s="62"/>
    </row>
    <row r="40" spans="4:9" x14ac:dyDescent="0.25">
      <c r="I40" s="50"/>
    </row>
  </sheetData>
  <phoneticPr fontId="0" type="noConversion"/>
  <conditionalFormatting sqref="L2:L21">
    <cfRule type="cellIs" dxfId="1" priority="2" operator="lessThan">
      <formula>1</formula>
    </cfRule>
  </conditionalFormatting>
  <conditionalFormatting sqref="N2:N21">
    <cfRule type="containsBlanks" dxfId="0" priority="1">
      <formula>LEN(TRIM(N2))=0</formula>
    </cfRule>
  </conditionalFormatting>
  <pageMargins left="0.47244094488188981" right="0.35433070866141736" top="0.59055118110236227" bottom="0.98425196850393704" header="0.51181102362204722" footer="0.51181102362204722"/>
  <pageSetup paperSize="9" scale="57" orientation="landscape" horizontalDpi="200" verticalDpi="200" r:id="rId1"/>
  <headerFooter alignWithMargins="0">
    <oddHeader>&amp;LCreated by FEDEVEL&amp;CMotherboard, Processor and Microcontroller Board Design&amp;Rhttp://www.fedevel.com</oddHeader>
    <oddFooter>&amp;C&amp;D&amp;R&amp;P/&amp;N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7" sqref="B7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10" t="s">
        <v>0</v>
      </c>
      <c r="B1" s="54" t="s">
        <v>31</v>
      </c>
    </row>
    <row r="2" spans="1:2" x14ac:dyDescent="0.25">
      <c r="A2" s="9" t="s">
        <v>1</v>
      </c>
      <c r="B2" s="55" t="s">
        <v>25</v>
      </c>
    </row>
    <row r="3" spans="1:2" x14ac:dyDescent="0.25">
      <c r="A3" s="10" t="s">
        <v>2</v>
      </c>
      <c r="B3" s="56" t="s">
        <v>26</v>
      </c>
    </row>
    <row r="4" spans="1:2" x14ac:dyDescent="0.25">
      <c r="A4" s="9" t="s">
        <v>3</v>
      </c>
      <c r="B4" s="55" t="s">
        <v>24</v>
      </c>
    </row>
    <row r="5" spans="1:2" x14ac:dyDescent="0.25">
      <c r="A5" s="10" t="s">
        <v>4</v>
      </c>
      <c r="B5" s="56" t="s">
        <v>32</v>
      </c>
    </row>
    <row r="6" spans="1:2" x14ac:dyDescent="0.25">
      <c r="A6" s="9" t="s">
        <v>5</v>
      </c>
      <c r="B6" s="55" t="s">
        <v>23</v>
      </c>
    </row>
    <row r="7" spans="1:2" x14ac:dyDescent="0.25">
      <c r="A7" s="10" t="s">
        <v>6</v>
      </c>
      <c r="B7" s="56" t="s">
        <v>33</v>
      </c>
    </row>
    <row r="8" spans="1:2" x14ac:dyDescent="0.25">
      <c r="A8" s="9" t="s">
        <v>7</v>
      </c>
      <c r="B8" s="55" t="s">
        <v>28</v>
      </c>
    </row>
    <row r="9" spans="1:2" x14ac:dyDescent="0.25">
      <c r="A9" s="10" t="s">
        <v>8</v>
      </c>
      <c r="B9" s="56" t="s">
        <v>27</v>
      </c>
    </row>
    <row r="10" spans="1:2" x14ac:dyDescent="0.25">
      <c r="A10" s="9" t="s">
        <v>9</v>
      </c>
      <c r="B10" s="55" t="s">
        <v>34</v>
      </c>
    </row>
    <row r="11" spans="1:2" x14ac:dyDescent="0.25">
      <c r="A11" s="10" t="s">
        <v>10</v>
      </c>
      <c r="B11" s="56" t="s">
        <v>35</v>
      </c>
    </row>
    <row r="12" spans="1:2" x14ac:dyDescent="0.25">
      <c r="A12" s="9" t="s">
        <v>11</v>
      </c>
      <c r="B12" s="55" t="s">
        <v>36</v>
      </c>
    </row>
    <row r="13" spans="1:2" x14ac:dyDescent="0.25">
      <c r="A13" s="10" t="s">
        <v>12</v>
      </c>
      <c r="B13" s="56" t="s">
        <v>37</v>
      </c>
    </row>
    <row r="14" spans="1:2" x14ac:dyDescent="0.25">
      <c r="A14" s="9" t="s">
        <v>13</v>
      </c>
      <c r="B14" s="55" t="s">
        <v>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 Domingus Bogo</dc:creator>
  <cp:lastModifiedBy>Vitor Hugo Domingus Bogo</cp:lastModifiedBy>
  <cp:lastPrinted>2012-02-04T13:58:31Z</cp:lastPrinted>
  <dcterms:created xsi:type="dcterms:W3CDTF">2002-11-05T15:28:02Z</dcterms:created>
  <dcterms:modified xsi:type="dcterms:W3CDTF">2025-11-28T19:02:44Z</dcterms:modified>
</cp:coreProperties>
</file>